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8"/>
  <workbookPr hidePivotFieldList="1"/>
  <xr:revisionPtr revIDLastSave="0" documentId="8_{D238C8C9-FBA9-4A00-8577-54B049979A35}" xr6:coauthVersionLast="47" xr6:coauthVersionMax="47" xr10:uidLastSave="{00000000-0000-0000-0000-000000000000}"/>
  <bookViews>
    <workbookView xWindow="28680" yWindow="-120" windowWidth="24240" windowHeight="13740" xr2:uid="{00000000-000D-0000-FFFF-FFFF00000000}"/>
  </bookViews>
  <sheets>
    <sheet name="Sheet3" sheetId="4" r:id="rId1"/>
    <sheet name="Total" sheetId="1" r:id="rId2"/>
    <sheet name="Sheet1" sheetId="2" r:id="rId3"/>
  </sheets>
  <definedNames>
    <definedName name="_xlnm._FilterDatabase" localSheetId="1" hidden="1">Total!$B$1:$I$52</definedName>
    <definedName name="_xlnm.Print_Area" localSheetId="1">Total!$A$1:$I$57</definedName>
  </definedNames>
  <calcPr calcId="191028"/>
  <pivotCaches>
    <pivotCache cacheId="103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2" l="1"/>
</calcChain>
</file>

<file path=xl/sharedStrings.xml><?xml version="1.0" encoding="utf-8"?>
<sst xmlns="http://schemas.openxmlformats.org/spreadsheetml/2006/main" count="83" uniqueCount="72">
  <si>
    <t>State</t>
  </si>
  <si>
    <t>Sum of  sex</t>
  </si>
  <si>
    <t>Sum of  basis of race, color, or national origin</t>
  </si>
  <si>
    <t>Sum of Allegation on the basis of disability</t>
  </si>
  <si>
    <t>Sum of Allegation on basis of sexual orentation</t>
  </si>
  <si>
    <t>Sum of Allegation on basis of religion</t>
  </si>
  <si>
    <t>Arizona</t>
  </si>
  <si>
    <t>California</t>
  </si>
  <si>
    <t>Illinois</t>
  </si>
  <si>
    <t>Michigan</t>
  </si>
  <si>
    <t>Minnesota</t>
  </si>
  <si>
    <t>Missouri</t>
  </si>
  <si>
    <t>New York</t>
  </si>
  <si>
    <t>North Carolina</t>
  </si>
  <si>
    <t>Pennsylvania</t>
  </si>
  <si>
    <t>Texas</t>
  </si>
  <si>
    <t>Grand Total</t>
  </si>
  <si>
    <t>Total number of allegations</t>
  </si>
  <si>
    <t xml:space="preserve"> sex</t>
  </si>
  <si>
    <t xml:space="preserve"> basis of race, color, or national origin</t>
  </si>
  <si>
    <t>Allegation on the basis of disability</t>
  </si>
  <si>
    <t>Allegation on basis of sexual orentation</t>
  </si>
  <si>
    <t>Allegation on basis of religion</t>
  </si>
  <si>
    <t>Number of Schools</t>
  </si>
  <si>
    <t>% of Schools Reporting</t>
  </si>
  <si>
    <t>Column1</t>
  </si>
  <si>
    <t>Alabama</t>
  </si>
  <si>
    <t>Alaska</t>
  </si>
  <si>
    <t>Arkansas</t>
  </si>
  <si>
    <t>Colorado</t>
  </si>
  <si>
    <t>Connecticut</t>
  </si>
  <si>
    <t>Delaware</t>
  </si>
  <si>
    <t>District of Columbia</t>
  </si>
  <si>
    <t>!</t>
  </si>
  <si>
    <t>Florida</t>
  </si>
  <si>
    <t>Georgia</t>
  </si>
  <si>
    <t>Hawaii</t>
  </si>
  <si>
    <t>Idaho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</si>
  <si>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</si>
  <si>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</si>
  <si>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</si>
  <si>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</si>
  <si>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</si>
  <si>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</si>
  <si>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</si>
  <si>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</si>
  <si>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Mississippi</t>
  </si>
  <si>
    <t>Montana</t>
  </si>
  <si>
    <t>Nebraska</t>
  </si>
  <si>
    <t>Nevada</t>
  </si>
  <si>
    <t>New Hampshire</t>
  </si>
  <si>
    <t>New Jersey</t>
  </si>
  <si>
    <t>New Mexico</t>
  </si>
  <si>
    <t>North Dakota</t>
  </si>
  <si>
    <t>Ohio</t>
  </si>
  <si>
    <t>Oklahoma</t>
  </si>
  <si>
    <t>Oregon</t>
  </si>
  <si>
    <t>Rhode Island</t>
  </si>
  <si>
    <t>South Carolina</t>
  </si>
  <si>
    <t>South Dakota</t>
  </si>
  <si>
    <t>Tennessee</t>
  </si>
  <si>
    <t>Utah</t>
  </si>
  <si>
    <t>Vermont</t>
  </si>
  <si>
    <t>Virginia</t>
  </si>
  <si>
    <t>Washington</t>
  </si>
  <si>
    <t>West Virginia</t>
  </si>
  <si>
    <t>Wisconsin</t>
  </si>
  <si>
    <t>Wyoming</t>
  </si>
  <si>
    <t>! Interpret data in this row with caution. Data are missing for more than 15 percent of schools.</t>
  </si>
  <si>
    <t>Data reported in this table represent 99.5% of responding schools.</t>
  </si>
  <si>
    <t>SOURCE: U.S. Department of Education, Office for Civil Rights, Civil Rights Data Collection, 2015-16, available at http://ocrdata.ed.gov. Data notes are available at https://ocrdata.ed.gov/Downloads/Data-Notes-2015-16-CRDC.pdf</t>
  </si>
  <si>
    <t>SOURCE: U.S. Department of Education, Office for Civil Rights, Civil Rights Data Collection, 2015-16, available at http://ocrdata.ed.gov. Data notes are available 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</si>
</sst>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#,##0_)"/>
    <numFmt numFmtId="166" formatCode="#,##0.0_)"/>
    <numFmt numFmtId="167" formatCode="_(* #,##0_);_(* \(#,##0\);_(* &quot;-&quot;??_);_(@_)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 Narrow"/>
      <family val="2"/>
    </font>
    <font>
      <sz val="11"/>
      <color theme="1"/>
      <name val="Arial"/>
      <family val="2"/>
    </font>
    <font>
      <sz val="10"/>
      <name val="MS Sans Serif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sz val="11"/>
      <name val="Arial"/>
      <family val="2"/>
    </font>
    <font>
      <sz val="10"/>
      <name val="Arial"/>
    </font>
    <font>
      <sz val="11"/>
      <color rgb="FF242424"/>
      <name val="Aptos Narrow"/>
      <charset val="1"/>
    </font>
    <font>
      <sz val="10"/>
      <color rgb="FF00000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</borders>
  <cellStyleXfs count="7">
    <xf numFmtId="0" fontId="0" fillId="0" borderId="0"/>
    <xf numFmtId="0" fontId="1" fillId="0" borderId="0"/>
    <xf numFmtId="0" fontId="2" fillId="0" borderId="0"/>
    <xf numFmtId="0" fontId="4" fillId="0" borderId="0"/>
    <xf numFmtId="0" fontId="4" fillId="0" borderId="0"/>
    <xf numFmtId="164" fontId="1" fillId="0" borderId="0" applyFont="0" applyFill="0" applyBorder="0" applyAlignment="0" applyProtection="0"/>
    <xf numFmtId="0" fontId="9" fillId="0" borderId="0"/>
  </cellStyleXfs>
  <cellXfs count="43">
    <xf numFmtId="0" fontId="0" fillId="0" borderId="0" xfId="0"/>
    <xf numFmtId="0" fontId="3" fillId="0" borderId="0" xfId="1" applyFont="1" applyBorder="1"/>
    <xf numFmtId="0" fontId="3" fillId="0" borderId="0" xfId="1" applyFont="1"/>
    <xf numFmtId="0" fontId="6" fillId="0" borderId="0" xfId="1" applyFont="1" applyFill="1" applyAlignment="1"/>
    <xf numFmtId="0" fontId="6" fillId="0" borderId="0" xfId="4" applyFont="1" applyFill="1"/>
    <xf numFmtId="0" fontId="6" fillId="0" borderId="0" xfId="2" applyFont="1" applyFill="1" applyBorder="1"/>
    <xf numFmtId="165" fontId="6" fillId="0" borderId="3" xfId="1" applyNumberFormat="1" applyFont="1" applyFill="1" applyBorder="1" applyAlignment="1">
      <alignment horizontal="right"/>
    </xf>
    <xf numFmtId="37" fontId="6" fillId="0" borderId="3" xfId="4" applyNumberFormat="1" applyFont="1" applyFill="1" applyBorder="1"/>
    <xf numFmtId="166" fontId="6" fillId="0" borderId="4" xfId="1" applyNumberFormat="1" applyFont="1" applyFill="1" applyBorder="1"/>
    <xf numFmtId="0" fontId="7" fillId="0" borderId="0" xfId="1" quotePrefix="1" applyFont="1"/>
    <xf numFmtId="0" fontId="7" fillId="0" borderId="0" xfId="1" applyFont="1"/>
    <xf numFmtId="0" fontId="7" fillId="0" borderId="0" xfId="1" applyFont="1" applyBorder="1"/>
    <xf numFmtId="0" fontId="6" fillId="0" borderId="0" xfId="4" applyFont="1" applyBorder="1"/>
    <xf numFmtId="0" fontId="6" fillId="0" borderId="0" xfId="4" applyFont="1"/>
    <xf numFmtId="0" fontId="8" fillId="0" borderId="0" xfId="4" applyFont="1" applyBorder="1"/>
    <xf numFmtId="0" fontId="8" fillId="0" borderId="0" xfId="4" applyFont="1"/>
    <xf numFmtId="165" fontId="6" fillId="2" borderId="3" xfId="1" applyNumberFormat="1" applyFont="1" applyFill="1" applyBorder="1" applyAlignment="1">
      <alignment horizontal="right"/>
    </xf>
    <xf numFmtId="37" fontId="6" fillId="2" borderId="3" xfId="4" applyNumberFormat="1" applyFont="1" applyFill="1" applyBorder="1"/>
    <xf numFmtId="166" fontId="6" fillId="2" borderId="4" xfId="1" applyNumberFormat="1" applyFont="1" applyFill="1" applyBorder="1"/>
    <xf numFmtId="0" fontId="6" fillId="2" borderId="0" xfId="2" applyFont="1" applyFill="1" applyBorder="1"/>
    <xf numFmtId="0" fontId="6" fillId="0" borderId="0" xfId="1" applyFont="1" applyFill="1" applyBorder="1" applyAlignment="1"/>
    <xf numFmtId="0" fontId="6" fillId="0" borderId="0" xfId="4" applyFont="1" applyFill="1" applyBorder="1"/>
    <xf numFmtId="0" fontId="6" fillId="0" borderId="0" xfId="4" applyFont="1" applyFill="1" applyBorder="1" applyAlignment="1">
      <alignment horizontal="left" indent="5"/>
    </xf>
    <xf numFmtId="0" fontId="6" fillId="0" borderId="0" xfId="4" applyFont="1" applyFill="1" applyBorder="1" applyAlignment="1"/>
    <xf numFmtId="166" fontId="6" fillId="2" borderId="0" xfId="1" applyNumberFormat="1" applyFont="1" applyFill="1" applyBorder="1"/>
    <xf numFmtId="166" fontId="6" fillId="0" borderId="0" xfId="1" applyNumberFormat="1" applyFont="1" applyFill="1" applyBorder="1"/>
    <xf numFmtId="165" fontId="6" fillId="0" borderId="0" xfId="1" applyNumberFormat="1" applyFont="1" applyFill="1" applyBorder="1" applyAlignment="1">
      <alignment horizontal="right"/>
    </xf>
    <xf numFmtId="37" fontId="6" fillId="0" borderId="0" xfId="4" applyNumberFormat="1" applyFont="1" applyFill="1" applyBorder="1"/>
    <xf numFmtId="167" fontId="6" fillId="2" borderId="3" xfId="5" applyNumberFormat="1" applyFont="1" applyFill="1" applyBorder="1" applyAlignment="1">
      <alignment horizontal="right"/>
    </xf>
    <xf numFmtId="167" fontId="6" fillId="0" borderId="3" xfId="5" applyNumberFormat="1" applyFont="1" applyFill="1" applyBorder="1" applyAlignment="1">
      <alignment horizontal="right"/>
    </xf>
    <xf numFmtId="167" fontId="6" fillId="2" borderId="3" xfId="1" applyNumberFormat="1" applyFont="1" applyFill="1" applyBorder="1" applyAlignment="1">
      <alignment horizontal="right"/>
    </xf>
    <xf numFmtId="167" fontId="6" fillId="0" borderId="3" xfId="1" applyNumberFormat="1" applyFont="1" applyFill="1" applyBorder="1" applyAlignment="1">
      <alignment horizontal="right"/>
    </xf>
    <xf numFmtId="1" fontId="5" fillId="0" borderId="3" xfId="3" applyNumberFormat="1" applyFont="1" applyFill="1" applyBorder="1" applyAlignment="1">
      <alignment horizontal="center" wrapText="1"/>
    </xf>
    <xf numFmtId="1" fontId="5" fillId="0" borderId="2" xfId="3" applyNumberFormat="1" applyFont="1" applyFill="1" applyBorder="1" applyAlignment="1">
      <alignment horizontal="center" wrapText="1"/>
    </xf>
    <xf numFmtId="1" fontId="5" fillId="0" borderId="4" xfId="3" applyNumberFormat="1" applyFont="1" applyFill="1" applyBorder="1" applyAlignment="1">
      <alignment horizontal="center" wrapText="1"/>
    </xf>
    <xf numFmtId="1" fontId="5" fillId="0" borderId="0" xfId="3" applyNumberFormat="1" applyFont="1" applyFill="1" applyBorder="1" applyAlignment="1">
      <alignment horizontal="center" wrapText="1"/>
    </xf>
    <xf numFmtId="0" fontId="6" fillId="0" borderId="0" xfId="4" applyFont="1" applyFill="1" applyBorder="1" applyAlignment="1">
      <alignment wrapText="1"/>
    </xf>
    <xf numFmtId="0" fontId="11" fillId="0" borderId="0" xfId="0" quotePrefix="1" applyFont="1"/>
    <xf numFmtId="0" fontId="10" fillId="0" borderId="0" xfId="0" applyFont="1"/>
    <xf numFmtId="0" fontId="10" fillId="0" borderId="1" xfId="3" applyFont="1" applyFill="1" applyBorder="1" applyAlignment="1">
      <alignment horizontal="left"/>
    </xf>
    <xf numFmtId="0" fontId="0" fillId="0" borderId="0" xfId="0" pivotButton="1"/>
    <xf numFmtId="167" fontId="0" fillId="0" borderId="0" xfId="0" applyNumberFormat="1"/>
    <xf numFmtId="165" fontId="0" fillId="0" borderId="0" xfId="0" applyNumberFormat="1"/>
  </cellXfs>
  <cellStyles count="7">
    <cellStyle name="Comma" xfId="5" builtinId="3"/>
    <cellStyle name="Normal" xfId="0" builtinId="0"/>
    <cellStyle name="Normal 2" xfId="6" xr:uid="{00000000-0005-0000-0000-000002000000}"/>
    <cellStyle name="Normal 2 2" xfId="4" xr:uid="{00000000-0005-0000-0000-000003000000}"/>
    <cellStyle name="Normal 3" xfId="1" xr:uid="{00000000-0005-0000-0000-000004000000}"/>
    <cellStyle name="Normal 6" xfId="3" xr:uid="{00000000-0005-0000-0000-000005000000}"/>
    <cellStyle name="Normal 9 2" xfId="2" xr:uid="{00000000-0005-0000-0000-000006000000}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#,##0.0_)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#,##0.0_)"/>
      <fill>
        <patternFill patternType="none">
          <fgColor indexed="64"/>
          <bgColor indexed="65"/>
        </patternFill>
      </fill>
      <border diagonalUp="0" diagonalDown="0">
        <left style="hair">
          <color auto="1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5" formatCode="#,##0;\-#,##0"/>
      <fill>
        <patternFill patternType="none">
          <fgColor indexed="64"/>
          <bgColor indexed="65"/>
        </patternFill>
      </fill>
      <border diagonalUp="0" diagonalDown="0">
        <left style="thin">
          <color auto="1"/>
        </left>
        <right style="hair">
          <color auto="1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#,##0_)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hair">
          <color auto="1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#,##0_)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hair">
          <color auto="1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#,##0_)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hair">
          <color auto="1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#,##0_)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hair">
          <color auto="1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_(* #,##0_);_(* \(#,##0\);_(* &quot;-&quot;??_);_(@_)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hair">
          <color auto="1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_(* #,##0_);_(* \(#,##0\);_(* &quot;-&quot;??_);_(@_)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hair">
          <color auto="1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</dxf>
    <dxf>
      <border outline="0">
        <top style="medium">
          <color auto="1"/>
        </top>
        <bottom style="medium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[Allegations-of-Harassment-or-Bullying 4.xlsx]Sheet3!PivotTable1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States by Harassment &amp; Bullying Allegations</a:t>
            </a:r>
          </a:p>
        </c:rich>
      </c:tx>
      <c:layout>
        <c:manualLayout>
          <c:xMode val="edge"/>
          <c:yMode val="edge"/>
          <c:x val="0.27171903881700554"/>
          <c:y val="3.012564562928779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Sum of  sex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Sheet3!$A$4:$A$14</c:f>
              <c:strCache>
                <c:ptCount val="10"/>
                <c:pt idx="0">
                  <c:v>Arizona</c:v>
                </c:pt>
                <c:pt idx="1">
                  <c:v>California</c:v>
                </c:pt>
                <c:pt idx="2">
                  <c:v>Illinois</c:v>
                </c:pt>
                <c:pt idx="3">
                  <c:v>Michigan</c:v>
                </c:pt>
                <c:pt idx="4">
                  <c:v>Minnesota</c:v>
                </c:pt>
                <c:pt idx="5">
                  <c:v>Missouri</c:v>
                </c:pt>
                <c:pt idx="6">
                  <c:v>New York</c:v>
                </c:pt>
                <c:pt idx="7">
                  <c:v>North Carolina</c:v>
                </c:pt>
                <c:pt idx="8">
                  <c:v>Pennsylvania</c:v>
                </c:pt>
                <c:pt idx="9">
                  <c:v>Texas</c:v>
                </c:pt>
              </c:strCache>
            </c:strRef>
          </c:cat>
          <c:val>
            <c:numRef>
              <c:f>Sheet3!$B$4:$B$14</c:f>
              <c:numCache>
                <c:formatCode>_(* #,##0_);_(* \(#,##0\);_(* "-"??_);_(@_)</c:formatCode>
                <c:ptCount val="10"/>
                <c:pt idx="0">
                  <c:v>1553</c:v>
                </c:pt>
                <c:pt idx="1">
                  <c:v>8899</c:v>
                </c:pt>
                <c:pt idx="2">
                  <c:v>4961</c:v>
                </c:pt>
                <c:pt idx="3">
                  <c:v>2078</c:v>
                </c:pt>
                <c:pt idx="4">
                  <c:v>1952</c:v>
                </c:pt>
                <c:pt idx="5">
                  <c:v>1671</c:v>
                </c:pt>
                <c:pt idx="6">
                  <c:v>5193</c:v>
                </c:pt>
                <c:pt idx="7">
                  <c:v>1861</c:v>
                </c:pt>
                <c:pt idx="8">
                  <c:v>1566</c:v>
                </c:pt>
                <c:pt idx="9">
                  <c:v>1722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74-4268-AEB7-6A5A116F0E5E}"/>
            </c:ext>
          </c:extLst>
        </c:ser>
        <c:ser>
          <c:idx val="1"/>
          <c:order val="1"/>
          <c:tx>
            <c:strRef>
              <c:f>Sheet3!$C$3</c:f>
              <c:strCache>
                <c:ptCount val="1"/>
                <c:pt idx="0">
                  <c:v>Sum of  basis of race, color, or national origin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Sheet3!$A$4:$A$14</c:f>
              <c:strCache>
                <c:ptCount val="10"/>
                <c:pt idx="0">
                  <c:v>Arizona</c:v>
                </c:pt>
                <c:pt idx="1">
                  <c:v>California</c:v>
                </c:pt>
                <c:pt idx="2">
                  <c:v>Illinois</c:v>
                </c:pt>
                <c:pt idx="3">
                  <c:v>Michigan</c:v>
                </c:pt>
                <c:pt idx="4">
                  <c:v>Minnesota</c:v>
                </c:pt>
                <c:pt idx="5">
                  <c:v>Missouri</c:v>
                </c:pt>
                <c:pt idx="6">
                  <c:v>New York</c:v>
                </c:pt>
                <c:pt idx="7">
                  <c:v>North Carolina</c:v>
                </c:pt>
                <c:pt idx="8">
                  <c:v>Pennsylvania</c:v>
                </c:pt>
                <c:pt idx="9">
                  <c:v>Texas</c:v>
                </c:pt>
              </c:strCache>
            </c:strRef>
          </c:cat>
          <c:val>
            <c:numRef>
              <c:f>Sheet3!$C$4:$C$14</c:f>
              <c:numCache>
                <c:formatCode>#,##0_)</c:formatCode>
                <c:ptCount val="10"/>
                <c:pt idx="0">
                  <c:v>485</c:v>
                </c:pt>
                <c:pt idx="1">
                  <c:v>3684</c:v>
                </c:pt>
                <c:pt idx="2">
                  <c:v>4053</c:v>
                </c:pt>
                <c:pt idx="3">
                  <c:v>1196</c:v>
                </c:pt>
                <c:pt idx="4">
                  <c:v>1489</c:v>
                </c:pt>
                <c:pt idx="5">
                  <c:v>939</c:v>
                </c:pt>
                <c:pt idx="6">
                  <c:v>2843</c:v>
                </c:pt>
                <c:pt idx="7">
                  <c:v>165</c:v>
                </c:pt>
                <c:pt idx="8">
                  <c:v>965</c:v>
                </c:pt>
                <c:pt idx="9">
                  <c:v>941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39-40CC-BCE5-4CA1F614D9DE}"/>
            </c:ext>
          </c:extLst>
        </c:ser>
        <c:ser>
          <c:idx val="2"/>
          <c:order val="2"/>
          <c:tx>
            <c:strRef>
              <c:f>Sheet3!$D$3</c:f>
              <c:strCache>
                <c:ptCount val="1"/>
                <c:pt idx="0">
                  <c:v>Sum of Allegation on the basis of disability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Sheet3!$A$4:$A$14</c:f>
              <c:strCache>
                <c:ptCount val="10"/>
                <c:pt idx="0">
                  <c:v>Arizona</c:v>
                </c:pt>
                <c:pt idx="1">
                  <c:v>California</c:v>
                </c:pt>
                <c:pt idx="2">
                  <c:v>Illinois</c:v>
                </c:pt>
                <c:pt idx="3">
                  <c:v>Michigan</c:v>
                </c:pt>
                <c:pt idx="4">
                  <c:v>Minnesota</c:v>
                </c:pt>
                <c:pt idx="5">
                  <c:v>Missouri</c:v>
                </c:pt>
                <c:pt idx="6">
                  <c:v>New York</c:v>
                </c:pt>
                <c:pt idx="7">
                  <c:v>North Carolina</c:v>
                </c:pt>
                <c:pt idx="8">
                  <c:v>Pennsylvania</c:v>
                </c:pt>
                <c:pt idx="9">
                  <c:v>Texas</c:v>
                </c:pt>
              </c:strCache>
            </c:strRef>
          </c:cat>
          <c:val>
            <c:numRef>
              <c:f>Sheet3!$D$4:$D$14</c:f>
              <c:numCache>
                <c:formatCode>#,##0_)</c:formatCode>
                <c:ptCount val="10"/>
                <c:pt idx="0">
                  <c:v>216</c:v>
                </c:pt>
                <c:pt idx="1">
                  <c:v>2117</c:v>
                </c:pt>
                <c:pt idx="2">
                  <c:v>3145</c:v>
                </c:pt>
                <c:pt idx="3">
                  <c:v>701</c:v>
                </c:pt>
                <c:pt idx="4">
                  <c:v>547</c:v>
                </c:pt>
                <c:pt idx="5">
                  <c:v>473</c:v>
                </c:pt>
                <c:pt idx="6">
                  <c:v>784</c:v>
                </c:pt>
                <c:pt idx="7">
                  <c:v>38</c:v>
                </c:pt>
                <c:pt idx="8">
                  <c:v>699</c:v>
                </c:pt>
                <c:pt idx="9">
                  <c:v>336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D39-40CC-BCE5-4CA1F614D9DE}"/>
            </c:ext>
          </c:extLst>
        </c:ser>
        <c:ser>
          <c:idx val="3"/>
          <c:order val="3"/>
          <c:tx>
            <c:strRef>
              <c:f>Sheet3!$E$3</c:f>
              <c:strCache>
                <c:ptCount val="1"/>
                <c:pt idx="0">
                  <c:v>Sum of Allegation on basis of sexual orentation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Sheet3!$A$4:$A$14</c:f>
              <c:strCache>
                <c:ptCount val="10"/>
                <c:pt idx="0">
                  <c:v>Arizona</c:v>
                </c:pt>
                <c:pt idx="1">
                  <c:v>California</c:v>
                </c:pt>
                <c:pt idx="2">
                  <c:v>Illinois</c:v>
                </c:pt>
                <c:pt idx="3">
                  <c:v>Michigan</c:v>
                </c:pt>
                <c:pt idx="4">
                  <c:v>Minnesota</c:v>
                </c:pt>
                <c:pt idx="5">
                  <c:v>Missouri</c:v>
                </c:pt>
                <c:pt idx="6">
                  <c:v>New York</c:v>
                </c:pt>
                <c:pt idx="7">
                  <c:v>North Carolina</c:v>
                </c:pt>
                <c:pt idx="8">
                  <c:v>Pennsylvania</c:v>
                </c:pt>
                <c:pt idx="9">
                  <c:v>Texas</c:v>
                </c:pt>
              </c:strCache>
            </c:strRef>
          </c:cat>
          <c:val>
            <c:numRef>
              <c:f>Sheet3!$E$4:$E$14</c:f>
              <c:numCache>
                <c:formatCode>#,##0_)</c:formatCode>
                <c:ptCount val="10"/>
                <c:pt idx="0">
                  <c:v>423</c:v>
                </c:pt>
                <c:pt idx="1">
                  <c:v>2167</c:v>
                </c:pt>
                <c:pt idx="2">
                  <c:v>4551</c:v>
                </c:pt>
                <c:pt idx="3">
                  <c:v>878</c:v>
                </c:pt>
                <c:pt idx="4">
                  <c:v>1039</c:v>
                </c:pt>
                <c:pt idx="5">
                  <c:v>308</c:v>
                </c:pt>
                <c:pt idx="6">
                  <c:v>1556</c:v>
                </c:pt>
                <c:pt idx="7">
                  <c:v>218</c:v>
                </c:pt>
                <c:pt idx="8">
                  <c:v>785</c:v>
                </c:pt>
                <c:pt idx="9">
                  <c:v>619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D39-40CC-BCE5-4CA1F614D9DE}"/>
            </c:ext>
          </c:extLst>
        </c:ser>
        <c:ser>
          <c:idx val="4"/>
          <c:order val="4"/>
          <c:tx>
            <c:strRef>
              <c:f>Sheet3!$F$3</c:f>
              <c:strCache>
                <c:ptCount val="1"/>
                <c:pt idx="0">
                  <c:v>Sum of Allegation on basis of religion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Sheet3!$A$4:$A$14</c:f>
              <c:strCache>
                <c:ptCount val="10"/>
                <c:pt idx="0">
                  <c:v>Arizona</c:v>
                </c:pt>
                <c:pt idx="1">
                  <c:v>California</c:v>
                </c:pt>
                <c:pt idx="2">
                  <c:v>Illinois</c:v>
                </c:pt>
                <c:pt idx="3">
                  <c:v>Michigan</c:v>
                </c:pt>
                <c:pt idx="4">
                  <c:v>Minnesota</c:v>
                </c:pt>
                <c:pt idx="5">
                  <c:v>Missouri</c:v>
                </c:pt>
                <c:pt idx="6">
                  <c:v>New York</c:v>
                </c:pt>
                <c:pt idx="7">
                  <c:v>North Carolina</c:v>
                </c:pt>
                <c:pt idx="8">
                  <c:v>Pennsylvania</c:v>
                </c:pt>
                <c:pt idx="9">
                  <c:v>Texas</c:v>
                </c:pt>
              </c:strCache>
            </c:strRef>
          </c:cat>
          <c:val>
            <c:numRef>
              <c:f>Sheet3!$F$4:$F$14</c:f>
              <c:numCache>
                <c:formatCode>#,##0_)</c:formatCode>
                <c:ptCount val="10"/>
                <c:pt idx="0">
                  <c:v>103</c:v>
                </c:pt>
                <c:pt idx="1">
                  <c:v>1330</c:v>
                </c:pt>
                <c:pt idx="2">
                  <c:v>2977</c:v>
                </c:pt>
                <c:pt idx="3">
                  <c:v>228</c:v>
                </c:pt>
                <c:pt idx="4">
                  <c:v>854</c:v>
                </c:pt>
                <c:pt idx="5">
                  <c:v>33</c:v>
                </c:pt>
                <c:pt idx="6">
                  <c:v>415</c:v>
                </c:pt>
                <c:pt idx="7">
                  <c:v>9</c:v>
                </c:pt>
                <c:pt idx="8">
                  <c:v>445</c:v>
                </c:pt>
                <c:pt idx="9">
                  <c:v>313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D39-40CC-BCE5-4CA1F614D9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21628423"/>
        <c:axId val="21630471"/>
      </c:barChart>
      <c:catAx>
        <c:axId val="2162842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630471"/>
        <c:crosses val="autoZero"/>
        <c:auto val="1"/>
        <c:lblAlgn val="ctr"/>
        <c:lblOffset val="100"/>
        <c:noMultiLvlLbl val="0"/>
      </c:catAx>
      <c:valAx>
        <c:axId val="216304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6284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123825</xdr:colOff>
      <xdr:row>0</xdr:row>
      <xdr:rowOff>180975</xdr:rowOff>
    </xdr:from>
    <xdr:to>
      <xdr:col>24</xdr:col>
      <xdr:colOff>428625</xdr:colOff>
      <xdr:row>14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7B7EAC9-469A-6661-3D1A-EE4541D316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50.499609143517" createdVersion="8" refreshedVersion="8" minRefreshableVersion="3" recordCount="51" xr:uid="{86B0D482-5B12-49FB-AF90-514E19060C4D}">
  <cacheSource type="worksheet">
    <worksheetSource name="Table1"/>
  </cacheSource>
  <cacheFields count="10">
    <cacheField name="State" numFmtId="0">
      <sharedItems count="52">
        <s v="Alabama"/>
        <s v="Alaska"/>
        <s v="Arizona"/>
        <s v="Arkansas"/>
        <s v="California"/>
        <s v="Colorado"/>
        <s v="Connecticut"/>
        <s v="Delaware"/>
        <s v="District of Columbia"/>
        <s v="Florida"/>
        <s v="Georgia"/>
        <s v="Hawaii"/>
        <s v="Idaho"/>
        <s v="Illinois"/>
        <s v="Indiana"/>
        <s v="Iowa"/>
        <s v="Kansas"/>
        <s v="Kentucky"/>
        <s v="Louisiana"/>
        <s v="Maine"/>
        <s v="Maryland"/>
        <s v="Massachusetts"/>
        <s v="Michigan"/>
        <s v="Minnesota"/>
        <s v="Mississippi"/>
        <s v="Missouri"/>
        <s v="Montana"/>
        <s v="Nebraska"/>
        <s v="Nevada"/>
        <s v="New Hampshire"/>
        <s v="New Jersey"/>
        <s v="New Mexico"/>
        <s v="New York"/>
        <s v="North Carolina"/>
        <s v="North Dakota"/>
        <s v="Ohio"/>
        <s v="Oklahoma"/>
        <s v="Oregon"/>
        <s v="Pennsylvania"/>
        <s v="Rhode Island"/>
        <s v="South Carolina"/>
        <s v="South Dakota"/>
        <s v="Tennessee"/>
        <s v="Texas"/>
        <s v="Utah"/>
        <s v="Vermont"/>
        <s v="Virginia"/>
        <s v="Washington"/>
        <s v="West Virginia"/>
        <s v="Wisconsin"/>
        <s v="Wyoming"/>
        <s v="United States" u="1"/>
      </sharedItems>
    </cacheField>
    <cacheField name="Total number of allegations" numFmtId="167">
      <sharedItems containsSemiMixedTypes="0" containsString="0" containsNumber="1" containsInteger="1" minValue="58" maxValue="19687"/>
    </cacheField>
    <cacheField name=" sex" numFmtId="167">
      <sharedItems containsSemiMixedTypes="0" containsString="0" containsNumber="1" containsInteger="1" minValue="26" maxValue="8899"/>
    </cacheField>
    <cacheField name=" basis of race, color, or national origin" numFmtId="165">
      <sharedItems containsSemiMixedTypes="0" containsString="0" containsNumber="1" containsInteger="1" minValue="17" maxValue="4053"/>
    </cacheField>
    <cacheField name="Allegation on the basis of disability" numFmtId="165">
      <sharedItems containsSemiMixedTypes="0" containsString="0" containsNumber="1" containsInteger="1" minValue="4" maxValue="3145"/>
    </cacheField>
    <cacheField name="Allegation on basis of sexual orentation" numFmtId="165">
      <sharedItems containsSemiMixedTypes="0" containsString="0" containsNumber="1" containsInteger="1" minValue="11" maxValue="4551"/>
    </cacheField>
    <cacheField name="Allegation on basis of religion" numFmtId="165">
      <sharedItems containsSemiMixedTypes="0" containsString="0" containsNumber="1" containsInteger="1" minValue="0" maxValue="2977"/>
    </cacheField>
    <cacheField name="Number of Schools" numFmtId="37">
      <sharedItems containsSemiMixedTypes="0" containsString="0" containsNumber="1" containsInteger="1" minValue="221" maxValue="10138"/>
    </cacheField>
    <cacheField name="% of Schools Reporting" numFmtId="166">
      <sharedItems containsSemiMixedTypes="0" containsString="0" containsNumber="1" minValue="48.868778280000001" maxValue="100"/>
    </cacheField>
    <cacheField name="Column1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1">
  <r>
    <x v="0"/>
    <n v="1434"/>
    <n v="610"/>
    <n v="516"/>
    <n v="89"/>
    <n v="204"/>
    <n v="15"/>
    <n v="1400"/>
    <n v="100"/>
    <m/>
  </r>
  <r>
    <x v="1"/>
    <n v="58"/>
    <n v="26"/>
    <n v="17"/>
    <n v="4"/>
    <n v="11"/>
    <n v="0"/>
    <n v="503"/>
    <n v="100"/>
    <m/>
  </r>
  <r>
    <x v="2"/>
    <n v="2780"/>
    <n v="1553"/>
    <n v="485"/>
    <n v="216"/>
    <n v="423"/>
    <n v="103"/>
    <n v="1977"/>
    <n v="99.696509860000006"/>
    <m/>
  </r>
  <r>
    <x v="3"/>
    <n v="1222"/>
    <n v="598"/>
    <n v="405"/>
    <n v="102"/>
    <n v="108"/>
    <n v="9"/>
    <n v="1092"/>
    <n v="99.816849820000002"/>
    <m/>
  </r>
  <r>
    <x v="4"/>
    <n v="18197"/>
    <n v="8899"/>
    <n v="3684"/>
    <n v="2117"/>
    <n v="2167"/>
    <n v="1330"/>
    <n v="10138"/>
    <n v="99.644900370000002"/>
    <m/>
  </r>
  <r>
    <x v="5"/>
    <n v="1162"/>
    <n v="710"/>
    <n v="268"/>
    <n v="61"/>
    <n v="105"/>
    <n v="18"/>
    <n v="1868"/>
    <n v="89.614561030000004"/>
    <m/>
  </r>
  <r>
    <x v="6"/>
    <n v="1017"/>
    <n v="505"/>
    <n v="255"/>
    <n v="112"/>
    <n v="98"/>
    <n v="47"/>
    <n v="1238"/>
    <n v="100"/>
    <m/>
  </r>
  <r>
    <x v="7"/>
    <n v="258"/>
    <n v="102"/>
    <n v="57"/>
    <n v="47"/>
    <n v="47"/>
    <n v="5"/>
    <n v="235"/>
    <n v="100"/>
    <m/>
  </r>
  <r>
    <x v="8"/>
    <n v="116"/>
    <n v="69"/>
    <n v="22"/>
    <n v="5"/>
    <n v="18"/>
    <n v="2"/>
    <n v="221"/>
    <n v="48.868778280000001"/>
    <s v="!"/>
  </r>
  <r>
    <x v="9"/>
    <n v="149"/>
    <n v="36"/>
    <n v="37"/>
    <n v="29"/>
    <n v="34"/>
    <n v="13"/>
    <n v="3952"/>
    <n v="100"/>
    <m/>
  </r>
  <r>
    <x v="10"/>
    <n v="1550"/>
    <n v="792"/>
    <n v="379"/>
    <n v="150"/>
    <n v="207"/>
    <n v="22"/>
    <n v="2407"/>
    <n v="100"/>
    <m/>
  </r>
  <r>
    <x v="11"/>
    <n v="824"/>
    <n v="277"/>
    <n v="306"/>
    <n v="103"/>
    <n v="135"/>
    <n v="3"/>
    <n v="290"/>
    <n v="100"/>
    <m/>
  </r>
  <r>
    <x v="12"/>
    <n v="1168"/>
    <n v="227"/>
    <n v="459"/>
    <n v="71"/>
    <n v="226"/>
    <n v="185"/>
    <n v="720"/>
    <n v="100"/>
    <m/>
  </r>
  <r>
    <x v="13"/>
    <n v="19687"/>
    <n v="4961"/>
    <n v="4053"/>
    <n v="3145"/>
    <n v="4551"/>
    <n v="2977"/>
    <n v="4081"/>
    <n v="99.705954419999998"/>
    <m/>
  </r>
  <r>
    <x v="14"/>
    <n v="2279"/>
    <n v="1086"/>
    <n v="522"/>
    <n v="230"/>
    <n v="344"/>
    <n v="97"/>
    <n v="1879"/>
    <n v="100"/>
    <m/>
  </r>
  <r>
    <x v="15"/>
    <n v="1310"/>
    <n v="518"/>
    <n v="280"/>
    <n v="227"/>
    <n v="260"/>
    <n v="25"/>
    <n v="1365"/>
    <n v="100"/>
    <m/>
  </r>
  <r>
    <x v="16"/>
    <n v="2046"/>
    <n v="902"/>
    <n v="302"/>
    <n v="121"/>
    <n v="669"/>
    <n v="52"/>
    <n v="1356"/>
    <n v="100"/>
    <m/>
  </r>
  <r>
    <x v="17"/>
    <n v="885"/>
    <n v="444"/>
    <n v="202"/>
    <n v="79"/>
    <n v="151"/>
    <n v="9"/>
    <n v="1407"/>
    <n v="100"/>
    <m/>
  </r>
  <r>
    <x v="18"/>
    <n v="448"/>
    <n v="208"/>
    <n v="135"/>
    <n v="50"/>
    <n v="53"/>
    <n v="2"/>
    <n v="1367"/>
    <n v="100"/>
    <m/>
  </r>
  <r>
    <x v="19"/>
    <n v="581"/>
    <n v="262"/>
    <n v="158"/>
    <n v="44"/>
    <n v="103"/>
    <n v="14"/>
    <n v="589"/>
    <n v="100"/>
    <m/>
  </r>
  <r>
    <x v="20"/>
    <n v="514"/>
    <n v="249"/>
    <n v="108"/>
    <n v="70"/>
    <n v="76"/>
    <n v="11"/>
    <n v="1434"/>
    <n v="100"/>
    <m/>
  </r>
  <r>
    <x v="21"/>
    <n v="1842"/>
    <n v="1011"/>
    <n v="402"/>
    <n v="210"/>
    <n v="161"/>
    <n v="58"/>
    <n v="1873"/>
    <n v="100"/>
    <m/>
  </r>
  <r>
    <x v="22"/>
    <n v="5081"/>
    <n v="2078"/>
    <n v="1196"/>
    <n v="701"/>
    <n v="878"/>
    <n v="228"/>
    <n v="3616"/>
    <n v="99.972345129999994"/>
    <m/>
  </r>
  <r>
    <x v="23"/>
    <n v="5881"/>
    <n v="1952"/>
    <n v="1489"/>
    <n v="547"/>
    <n v="1039"/>
    <n v="854"/>
    <n v="2170"/>
    <n v="99.815668200000005"/>
    <m/>
  </r>
  <r>
    <x v="24"/>
    <n v="731"/>
    <n v="432"/>
    <n v="146"/>
    <n v="52"/>
    <n v="83"/>
    <n v="18"/>
    <n v="978"/>
    <n v="100"/>
    <m/>
  </r>
  <r>
    <x v="25"/>
    <n v="3424"/>
    <n v="1671"/>
    <n v="939"/>
    <n v="473"/>
    <n v="308"/>
    <n v="33"/>
    <n v="2372"/>
    <n v="100"/>
    <m/>
  </r>
  <r>
    <x v="26"/>
    <n v="954"/>
    <n v="369"/>
    <n v="389"/>
    <n v="83"/>
    <n v="93"/>
    <n v="20"/>
    <n v="825"/>
    <n v="100"/>
    <m/>
  </r>
  <r>
    <x v="27"/>
    <n v="1217"/>
    <n v="382"/>
    <n v="306"/>
    <n v="125"/>
    <n v="87"/>
    <n v="317"/>
    <n v="1064"/>
    <n v="100"/>
    <m/>
  </r>
  <r>
    <x v="28"/>
    <n v="1252"/>
    <n v="527"/>
    <n v="284"/>
    <n v="180"/>
    <n v="239"/>
    <n v="22"/>
    <n v="658"/>
    <n v="100"/>
    <m/>
  </r>
  <r>
    <x v="29"/>
    <n v="685"/>
    <n v="311"/>
    <n v="157"/>
    <n v="60"/>
    <n v="142"/>
    <n v="15"/>
    <n v="483"/>
    <n v="100"/>
    <m/>
  </r>
  <r>
    <x v="30"/>
    <n v="5613"/>
    <n v="1527"/>
    <n v="2013"/>
    <n v="831"/>
    <n v="985"/>
    <n v="257"/>
    <n v="2577"/>
    <n v="100"/>
    <m/>
  </r>
  <r>
    <x v="31"/>
    <n v="1255"/>
    <n v="942"/>
    <n v="106"/>
    <n v="93"/>
    <n v="77"/>
    <n v="37"/>
    <n v="880"/>
    <n v="100"/>
    <m/>
  </r>
  <r>
    <x v="32"/>
    <n v="10791"/>
    <n v="5193"/>
    <n v="2843"/>
    <n v="784"/>
    <n v="1556"/>
    <n v="415"/>
    <n v="4916"/>
    <n v="99.857607810000005"/>
    <m/>
  </r>
  <r>
    <x v="33"/>
    <n v="2291"/>
    <n v="1861"/>
    <n v="165"/>
    <n v="38"/>
    <n v="218"/>
    <n v="9"/>
    <n v="2618"/>
    <n v="100"/>
    <m/>
  </r>
  <r>
    <x v="34"/>
    <n v="227"/>
    <n v="97"/>
    <n v="80"/>
    <n v="13"/>
    <n v="27"/>
    <n v="10"/>
    <n v="481"/>
    <n v="100"/>
    <m/>
  </r>
  <r>
    <x v="35"/>
    <n v="2782"/>
    <n v="1138"/>
    <n v="777"/>
    <n v="316"/>
    <n v="365"/>
    <n v="186"/>
    <n v="3631"/>
    <n v="100"/>
    <m/>
  </r>
  <r>
    <x v="36"/>
    <n v="1295"/>
    <n v="606"/>
    <n v="407"/>
    <n v="107"/>
    <n v="160"/>
    <n v="15"/>
    <n v="1815"/>
    <n v="100"/>
    <m/>
  </r>
  <r>
    <x v="37"/>
    <n v="2612"/>
    <n v="1208"/>
    <n v="384"/>
    <n v="484"/>
    <n v="396"/>
    <n v="140"/>
    <n v="1283"/>
    <n v="100"/>
    <m/>
  </r>
  <r>
    <x v="38"/>
    <n v="4460"/>
    <n v="1566"/>
    <n v="965"/>
    <n v="699"/>
    <n v="785"/>
    <n v="445"/>
    <n v="3027"/>
    <n v="100"/>
    <m/>
  </r>
  <r>
    <x v="39"/>
    <n v="2016"/>
    <n v="297"/>
    <n v="344"/>
    <n v="361"/>
    <n v="524"/>
    <n v="490"/>
    <n v="308"/>
    <n v="100"/>
    <m/>
  </r>
  <r>
    <x v="40"/>
    <n v="988"/>
    <n v="433"/>
    <n v="330"/>
    <n v="107"/>
    <n v="106"/>
    <n v="12"/>
    <n v="1236"/>
    <n v="95.631067959999996"/>
    <m/>
  </r>
  <r>
    <x v="41"/>
    <n v="268"/>
    <n v="179"/>
    <n v="35"/>
    <n v="27"/>
    <n v="24"/>
    <n v="3"/>
    <n v="688"/>
    <n v="100"/>
    <m/>
  </r>
  <r>
    <x v="42"/>
    <n v="5703"/>
    <n v="1177"/>
    <n v="833"/>
    <n v="255"/>
    <n v="1824"/>
    <n v="1614"/>
    <n v="1818"/>
    <n v="100"/>
    <m/>
  </r>
  <r>
    <x v="43"/>
    <n v="3931"/>
    <n v="1722"/>
    <n v="941"/>
    <n v="336"/>
    <n v="619"/>
    <n v="313"/>
    <n v="8616"/>
    <n v="100"/>
    <m/>
  </r>
  <r>
    <x v="44"/>
    <n v="2111"/>
    <n v="1074"/>
    <n v="499"/>
    <n v="243"/>
    <n v="108"/>
    <n v="187"/>
    <n v="1009"/>
    <n v="94.846382559999995"/>
    <m/>
  </r>
  <r>
    <x v="45"/>
    <n v="1106"/>
    <n v="585"/>
    <n v="216"/>
    <n v="110"/>
    <n v="180"/>
    <n v="15"/>
    <n v="306"/>
    <n v="100"/>
    <m/>
  </r>
  <r>
    <x v="46"/>
    <n v="1574"/>
    <n v="721"/>
    <n v="363"/>
    <n v="185"/>
    <n v="182"/>
    <n v="123"/>
    <n v="1971"/>
    <n v="100"/>
    <m/>
  </r>
  <r>
    <x v="47"/>
    <n v="3041"/>
    <n v="1393"/>
    <n v="639"/>
    <n v="359"/>
    <n v="378"/>
    <n v="272"/>
    <n v="2305"/>
    <n v="100"/>
    <m/>
  </r>
  <r>
    <x v="48"/>
    <n v="1116"/>
    <n v="508"/>
    <n v="302"/>
    <n v="119"/>
    <n v="168"/>
    <n v="19"/>
    <n v="720"/>
    <n v="100"/>
    <m/>
  </r>
  <r>
    <x v="49"/>
    <n v="2996"/>
    <n v="1440"/>
    <n v="655"/>
    <n v="356"/>
    <n v="401"/>
    <n v="144"/>
    <n v="2232"/>
    <n v="100"/>
    <m/>
  </r>
  <r>
    <x v="50"/>
    <n v="264"/>
    <n v="145"/>
    <n v="58"/>
    <n v="19"/>
    <n v="40"/>
    <n v="2"/>
    <n v="365"/>
    <n v="10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D21EF5-12B0-496F-BE88-95F56255C517}" name="PivotTable1" cacheId="10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F14" firstHeaderRow="0" firstDataRow="1" firstDataCol="1"/>
  <pivotFields count="10">
    <pivotField axis="axisRow" compact="0" outline="0" showAll="0" measureFilter="1">
      <items count="5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m="1" x="51"/>
        <item x="44"/>
        <item x="45"/>
        <item x="46"/>
        <item x="47"/>
        <item x="48"/>
        <item x="49"/>
        <item x="50"/>
        <item t="default"/>
      </items>
    </pivotField>
    <pivotField compact="0" numFmtId="167" outline="0" showAll="0"/>
    <pivotField dataField="1" compact="0" numFmtId="167" outline="0" showAll="0"/>
    <pivotField dataField="1" compact="0" numFmtId="165" outline="0" showAll="0"/>
    <pivotField dataField="1" compact="0" numFmtId="165" outline="0" showAll="0"/>
    <pivotField dataField="1" compact="0" numFmtId="165" outline="0" showAll="0"/>
    <pivotField dataField="1" compact="0" numFmtId="165" outline="0" showAll="0"/>
    <pivotField compact="0" numFmtId="37" outline="0" showAll="0"/>
    <pivotField compact="0" numFmtId="166" outline="0" showAll="0"/>
    <pivotField compact="0" outline="0" showAll="0"/>
  </pivotFields>
  <rowFields count="1">
    <field x="0"/>
  </rowFields>
  <rowItems count="11">
    <i>
      <x v="2"/>
    </i>
    <i>
      <x v="4"/>
    </i>
    <i>
      <x v="13"/>
    </i>
    <i>
      <x v="22"/>
    </i>
    <i>
      <x v="23"/>
    </i>
    <i>
      <x v="25"/>
    </i>
    <i>
      <x v="32"/>
    </i>
    <i>
      <x v="33"/>
    </i>
    <i>
      <x v="38"/>
    </i>
    <i>
      <x v="43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Sum of  sex" fld="2" baseField="0" baseItem="0" numFmtId="167"/>
    <dataField name="Sum of  basis of race, color, or national origin" fld="3" baseField="0" baseItem="0" numFmtId="165"/>
    <dataField name="Sum of Allegation on the basis of disability" fld="4" baseField="0" baseItem="0" numFmtId="165"/>
    <dataField name="Sum of Allegation on basis of sexual orentation" fld="5" baseField="0" baseItem="0" numFmtId="165"/>
    <dataField name="Sum of Allegation on basis of religion" fld="6" baseField="0" baseItem="0" numFmtId="165"/>
  </dataFields>
  <chartFormats count="5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0" format="5" series="1">
      <pivotArea type="data" outline="0" fieldPosition="0">
        <references count="1">
          <reference field="4294967294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count" evalOrder="-1" id="3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96932A9-7DCC-4E68-8D2D-BE025DAAFC8C}" name="Table1" displayName="Table1" ref="A1:J52" totalsRowShown="0" headerRowDxfId="11" tableBorderDxfId="10" headerRowCellStyle="Normal 6">
  <autoFilter ref="A1:J52" xr:uid="{396932A9-7DCC-4E68-8D2D-BE025DAAFC8C}"/>
  <tableColumns count="10">
    <tableColumn id="1" xr3:uid="{9F667042-50CB-4256-8FED-61A13BE0CD30}" name="State" dataDxfId="9" dataCellStyle="Normal 9 2"/>
    <tableColumn id="2" xr3:uid="{DE3F213F-4591-4027-B9C4-953B78CD9BFA}" name="Total number of allegations" dataDxfId="8" dataCellStyle="Normal 3"/>
    <tableColumn id="3" xr3:uid="{9A4F7CE9-5556-4522-9375-46B0B14C6437}" name=" sex" dataDxfId="7" dataCellStyle="Comma"/>
    <tableColumn id="4" xr3:uid="{08335346-DCA1-4DFB-993F-59E4ED0895CD}" name=" basis of race, color, or national origin" dataDxfId="6" dataCellStyle="Normal 3"/>
    <tableColumn id="5" xr3:uid="{B9140016-9381-4E6C-805C-983BD2945CB5}" name="Allegation on the basis of disability" dataDxfId="5" dataCellStyle="Normal 3"/>
    <tableColumn id="6" xr3:uid="{80FF57C1-CA7C-4F18-9C02-A0A6A18861CB}" name="Allegation on basis of sexual orentation" dataDxfId="4" dataCellStyle="Normal 3"/>
    <tableColumn id="7" xr3:uid="{71D9A870-3E85-4FDC-8BB8-D9E7D64A9E38}" name="Allegation on basis of religion" dataDxfId="3" dataCellStyle="Normal 3"/>
    <tableColumn id="8" xr3:uid="{B20BB50B-1890-4445-BE01-7EABE546637E}" name="Number of Schools" dataDxfId="2" dataCellStyle="Normal 2 2"/>
    <tableColumn id="9" xr3:uid="{226B8142-C72B-41BD-9F83-DC4F1AE4CE8B}" name="% of Schools Reporting" dataDxfId="1" dataCellStyle="Normal 3"/>
    <tableColumn id="10" xr3:uid="{8797513A-8BAC-4082-B93C-F0D0F594D4BB}" name="Column1" dataDxfId="0" dataCellStyle="Normal 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3140B-81B5-4DCB-B1F4-73CAAD30CB2F}">
  <dimension ref="A3:F14"/>
  <sheetViews>
    <sheetView tabSelected="1" topLeftCell="E1" workbookViewId="0">
      <selection activeCell="A4" sqref="A4"/>
    </sheetView>
  </sheetViews>
  <sheetFormatPr defaultRowHeight="15"/>
  <cols>
    <col min="1" max="1" width="14" bestFit="1" customWidth="1"/>
    <col min="2" max="2" width="11.28515625" bestFit="1" customWidth="1"/>
    <col min="3" max="3" width="42.42578125" bestFit="1" customWidth="1"/>
    <col min="4" max="4" width="40" bestFit="1" customWidth="1"/>
    <col min="5" max="5" width="44.28515625" bestFit="1" customWidth="1"/>
    <col min="6" max="6" width="35" bestFit="1" customWidth="1"/>
    <col min="7" max="7" width="33.140625" bestFit="1" customWidth="1"/>
  </cols>
  <sheetData>
    <row r="3" spans="1:6">
      <c r="A3" s="40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</row>
    <row r="4" spans="1:6">
      <c r="A4" t="s">
        <v>6</v>
      </c>
      <c r="B4" s="41">
        <v>1553</v>
      </c>
      <c r="C4" s="42">
        <v>485</v>
      </c>
      <c r="D4" s="42">
        <v>216</v>
      </c>
      <c r="E4" s="42">
        <v>423</v>
      </c>
      <c r="F4" s="42">
        <v>103</v>
      </c>
    </row>
    <row r="5" spans="1:6">
      <c r="A5" t="s">
        <v>7</v>
      </c>
      <c r="B5" s="41">
        <v>8899</v>
      </c>
      <c r="C5" s="42">
        <v>3684</v>
      </c>
      <c r="D5" s="42">
        <v>2117</v>
      </c>
      <c r="E5" s="42">
        <v>2167</v>
      </c>
      <c r="F5" s="42">
        <v>1330</v>
      </c>
    </row>
    <row r="6" spans="1:6">
      <c r="A6" t="s">
        <v>8</v>
      </c>
      <c r="B6" s="41">
        <v>4961</v>
      </c>
      <c r="C6" s="42">
        <v>4053</v>
      </c>
      <c r="D6" s="42">
        <v>3145</v>
      </c>
      <c r="E6" s="42">
        <v>4551</v>
      </c>
      <c r="F6" s="42">
        <v>2977</v>
      </c>
    </row>
    <row r="7" spans="1:6">
      <c r="A7" t="s">
        <v>9</v>
      </c>
      <c r="B7" s="41">
        <v>2078</v>
      </c>
      <c r="C7" s="42">
        <v>1196</v>
      </c>
      <c r="D7" s="42">
        <v>701</v>
      </c>
      <c r="E7" s="42">
        <v>878</v>
      </c>
      <c r="F7" s="42">
        <v>228</v>
      </c>
    </row>
    <row r="8" spans="1:6">
      <c r="A8" t="s">
        <v>10</v>
      </c>
      <c r="B8" s="41">
        <v>1952</v>
      </c>
      <c r="C8" s="42">
        <v>1489</v>
      </c>
      <c r="D8" s="42">
        <v>547</v>
      </c>
      <c r="E8" s="42">
        <v>1039</v>
      </c>
      <c r="F8" s="42">
        <v>854</v>
      </c>
    </row>
    <row r="9" spans="1:6">
      <c r="A9" t="s">
        <v>11</v>
      </c>
      <c r="B9" s="41">
        <v>1671</v>
      </c>
      <c r="C9" s="42">
        <v>939</v>
      </c>
      <c r="D9" s="42">
        <v>473</v>
      </c>
      <c r="E9" s="42">
        <v>308</v>
      </c>
      <c r="F9" s="42">
        <v>33</v>
      </c>
    </row>
    <row r="10" spans="1:6">
      <c r="A10" t="s">
        <v>12</v>
      </c>
      <c r="B10" s="41">
        <v>5193</v>
      </c>
      <c r="C10" s="42">
        <v>2843</v>
      </c>
      <c r="D10" s="42">
        <v>784</v>
      </c>
      <c r="E10" s="42">
        <v>1556</v>
      </c>
      <c r="F10" s="42">
        <v>415</v>
      </c>
    </row>
    <row r="11" spans="1:6">
      <c r="A11" t="s">
        <v>13</v>
      </c>
      <c r="B11" s="41">
        <v>1861</v>
      </c>
      <c r="C11" s="42">
        <v>165</v>
      </c>
      <c r="D11" s="42">
        <v>38</v>
      </c>
      <c r="E11" s="42">
        <v>218</v>
      </c>
      <c r="F11" s="42">
        <v>9</v>
      </c>
    </row>
    <row r="12" spans="1:6">
      <c r="A12" t="s">
        <v>14</v>
      </c>
      <c r="B12" s="41">
        <v>1566</v>
      </c>
      <c r="C12" s="42">
        <v>965</v>
      </c>
      <c r="D12" s="42">
        <v>699</v>
      </c>
      <c r="E12" s="42">
        <v>785</v>
      </c>
      <c r="F12" s="42">
        <v>445</v>
      </c>
    </row>
    <row r="13" spans="1:6">
      <c r="A13" t="s">
        <v>15</v>
      </c>
      <c r="B13" s="41">
        <v>1722</v>
      </c>
      <c r="C13" s="42">
        <v>941</v>
      </c>
      <c r="D13" s="42">
        <v>336</v>
      </c>
      <c r="E13" s="42">
        <v>619</v>
      </c>
      <c r="F13" s="42">
        <v>313</v>
      </c>
    </row>
    <row r="14" spans="1:6">
      <c r="A14" t="s">
        <v>16</v>
      </c>
      <c r="B14" s="41">
        <v>31456</v>
      </c>
      <c r="C14" s="42">
        <v>16760</v>
      </c>
      <c r="D14" s="42">
        <v>9056</v>
      </c>
      <c r="E14" s="42">
        <v>12544</v>
      </c>
      <c r="F14" s="42">
        <v>6707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59"/>
  <sheetViews>
    <sheetView showGridLines="0" zoomScaleNormal="100" workbookViewId="0">
      <selection activeCell="M10" sqref="M10"/>
    </sheetView>
  </sheetViews>
  <sheetFormatPr defaultColWidth="10.42578125" defaultRowHeight="15" customHeight="1"/>
  <cols>
    <col min="1" max="1" width="18.85546875" style="2" customWidth="1"/>
    <col min="2" max="2" width="15" style="2" customWidth="1"/>
    <col min="3" max="3" width="24" style="2" customWidth="1"/>
    <col min="4" max="4" width="31.42578125" style="2" customWidth="1"/>
    <col min="5" max="7" width="21.42578125" style="2" customWidth="1"/>
    <col min="8" max="9" width="15" style="2" customWidth="1"/>
    <col min="10" max="10" width="3.28515625" style="2" customWidth="1"/>
    <col min="11" max="11" width="1.42578125" style="2" customWidth="1"/>
    <col min="12" max="21" width="12.7109375" style="2" customWidth="1"/>
    <col min="22" max="22" width="12.7109375" style="1" customWidth="1"/>
    <col min="23" max="23" width="12.7109375" style="14" customWidth="1"/>
    <col min="24" max="25" width="12.7109375" style="2" customWidth="1"/>
    <col min="26" max="16384" width="10.42578125" style="15"/>
  </cols>
  <sheetData>
    <row r="1" spans="1:25" s="3" customFormat="1" ht="39.75" customHeight="1">
      <c r="A1" s="39" t="s">
        <v>0</v>
      </c>
      <c r="B1" s="33" t="s">
        <v>17</v>
      </c>
      <c r="C1" s="33" t="s">
        <v>18</v>
      </c>
      <c r="D1" s="33" t="s">
        <v>19</v>
      </c>
      <c r="E1" s="33" t="s">
        <v>20</v>
      </c>
      <c r="F1" s="33" t="s">
        <v>21</v>
      </c>
      <c r="G1" s="33" t="s">
        <v>22</v>
      </c>
      <c r="H1" s="32" t="s">
        <v>23</v>
      </c>
      <c r="I1" s="34" t="s">
        <v>24</v>
      </c>
      <c r="J1" s="35" t="s">
        <v>25</v>
      </c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</row>
    <row r="2" spans="1:25" s="4" customFormat="1" ht="15" customHeight="1">
      <c r="A2" s="5" t="s">
        <v>26</v>
      </c>
      <c r="B2" s="31">
        <v>1434</v>
      </c>
      <c r="C2" s="29">
        <v>610</v>
      </c>
      <c r="D2" s="6">
        <v>516</v>
      </c>
      <c r="E2" s="6">
        <v>89</v>
      </c>
      <c r="F2" s="6">
        <v>204</v>
      </c>
      <c r="G2" s="6">
        <v>15</v>
      </c>
      <c r="H2" s="7">
        <v>1400</v>
      </c>
      <c r="I2" s="8">
        <v>100</v>
      </c>
      <c r="J2" s="25"/>
    </row>
    <row r="3" spans="1:25" s="4" customFormat="1" ht="15" customHeight="1">
      <c r="A3" s="19" t="s">
        <v>27</v>
      </c>
      <c r="B3" s="30">
        <v>58</v>
      </c>
      <c r="C3" s="28">
        <v>26</v>
      </c>
      <c r="D3" s="16">
        <v>17</v>
      </c>
      <c r="E3" s="16">
        <v>4</v>
      </c>
      <c r="F3" s="16">
        <v>11</v>
      </c>
      <c r="G3" s="16">
        <v>0</v>
      </c>
      <c r="H3" s="17">
        <v>503</v>
      </c>
      <c r="I3" s="18">
        <v>100</v>
      </c>
      <c r="J3" s="24"/>
    </row>
    <row r="4" spans="1:25" s="4" customFormat="1" ht="15" customHeight="1">
      <c r="A4" s="5" t="s">
        <v>6</v>
      </c>
      <c r="B4" s="31">
        <v>2780</v>
      </c>
      <c r="C4" s="29">
        <v>1553</v>
      </c>
      <c r="D4" s="6">
        <v>485</v>
      </c>
      <c r="E4" s="6">
        <v>216</v>
      </c>
      <c r="F4" s="6">
        <v>423</v>
      </c>
      <c r="G4" s="6">
        <v>103</v>
      </c>
      <c r="H4" s="7">
        <v>1977</v>
      </c>
      <c r="I4" s="8">
        <v>99.696509860000006</v>
      </c>
      <c r="J4" s="25"/>
    </row>
    <row r="5" spans="1:25" s="4" customFormat="1" ht="15" customHeight="1">
      <c r="A5" s="19" t="s">
        <v>28</v>
      </c>
      <c r="B5" s="30">
        <v>1222</v>
      </c>
      <c r="C5" s="28">
        <v>598</v>
      </c>
      <c r="D5" s="16">
        <v>405</v>
      </c>
      <c r="E5" s="16">
        <v>102</v>
      </c>
      <c r="F5" s="16">
        <v>108</v>
      </c>
      <c r="G5" s="16">
        <v>9</v>
      </c>
      <c r="H5" s="17">
        <v>1092</v>
      </c>
      <c r="I5" s="18">
        <v>99.816849820000002</v>
      </c>
      <c r="J5" s="24"/>
    </row>
    <row r="6" spans="1:25" s="4" customFormat="1" ht="15" customHeight="1">
      <c r="A6" s="5" t="s">
        <v>7</v>
      </c>
      <c r="B6" s="31">
        <v>18197</v>
      </c>
      <c r="C6" s="29">
        <v>8899</v>
      </c>
      <c r="D6" s="6">
        <v>3684</v>
      </c>
      <c r="E6" s="6">
        <v>2117</v>
      </c>
      <c r="F6" s="6">
        <v>2167</v>
      </c>
      <c r="G6" s="6">
        <v>1330</v>
      </c>
      <c r="H6" s="7">
        <v>10138</v>
      </c>
      <c r="I6" s="8">
        <v>99.644900370000002</v>
      </c>
      <c r="J6" s="25"/>
    </row>
    <row r="7" spans="1:25" s="4" customFormat="1" ht="15" customHeight="1">
      <c r="A7" s="19" t="s">
        <v>29</v>
      </c>
      <c r="B7" s="30">
        <v>1162</v>
      </c>
      <c r="C7" s="28">
        <v>710</v>
      </c>
      <c r="D7" s="16">
        <v>268</v>
      </c>
      <c r="E7" s="16">
        <v>61</v>
      </c>
      <c r="F7" s="16">
        <v>105</v>
      </c>
      <c r="G7" s="16">
        <v>18</v>
      </c>
      <c r="H7" s="17">
        <v>1868</v>
      </c>
      <c r="I7" s="18">
        <v>89.614561030000004</v>
      </c>
      <c r="J7" s="24"/>
    </row>
    <row r="8" spans="1:25" s="4" customFormat="1" ht="15" customHeight="1">
      <c r="A8" s="5" t="s">
        <v>30</v>
      </c>
      <c r="B8" s="31">
        <v>1017</v>
      </c>
      <c r="C8" s="29">
        <v>505</v>
      </c>
      <c r="D8" s="6">
        <v>255</v>
      </c>
      <c r="E8" s="6">
        <v>112</v>
      </c>
      <c r="F8" s="6">
        <v>98</v>
      </c>
      <c r="G8" s="6">
        <v>47</v>
      </c>
      <c r="H8" s="7">
        <v>1238</v>
      </c>
      <c r="I8" s="8">
        <v>100</v>
      </c>
      <c r="J8" s="25"/>
    </row>
    <row r="9" spans="1:25" s="4" customFormat="1" ht="15" customHeight="1">
      <c r="A9" s="19" t="s">
        <v>31</v>
      </c>
      <c r="B9" s="30">
        <v>258</v>
      </c>
      <c r="C9" s="28">
        <v>102</v>
      </c>
      <c r="D9" s="16">
        <v>57</v>
      </c>
      <c r="E9" s="16">
        <v>47</v>
      </c>
      <c r="F9" s="16">
        <v>47</v>
      </c>
      <c r="G9" s="16">
        <v>5</v>
      </c>
      <c r="H9" s="17">
        <v>235</v>
      </c>
      <c r="I9" s="18">
        <v>100</v>
      </c>
      <c r="J9" s="24"/>
    </row>
    <row r="10" spans="1:25" s="4" customFormat="1" ht="15" customHeight="1">
      <c r="A10" s="5" t="s">
        <v>32</v>
      </c>
      <c r="B10" s="31">
        <v>116</v>
      </c>
      <c r="C10" s="29">
        <v>69</v>
      </c>
      <c r="D10" s="6">
        <v>22</v>
      </c>
      <c r="E10" s="6">
        <v>5</v>
      </c>
      <c r="F10" s="6">
        <v>18</v>
      </c>
      <c r="G10" s="6">
        <v>2</v>
      </c>
      <c r="H10" s="7">
        <v>221</v>
      </c>
      <c r="I10" s="8">
        <v>48.868778280000001</v>
      </c>
      <c r="J10" s="4" t="s">
        <v>33</v>
      </c>
    </row>
    <row r="11" spans="1:25" s="4" customFormat="1" ht="15" customHeight="1">
      <c r="A11" s="19" t="s">
        <v>34</v>
      </c>
      <c r="B11" s="30">
        <v>149</v>
      </c>
      <c r="C11" s="28">
        <v>36</v>
      </c>
      <c r="D11" s="16">
        <v>37</v>
      </c>
      <c r="E11" s="16">
        <v>29</v>
      </c>
      <c r="F11" s="16">
        <v>34</v>
      </c>
      <c r="G11" s="16">
        <v>13</v>
      </c>
      <c r="H11" s="17">
        <v>3952</v>
      </c>
      <c r="I11" s="18">
        <v>100</v>
      </c>
      <c r="J11" s="24"/>
    </row>
    <row r="12" spans="1:25" s="4" customFormat="1" ht="15" customHeight="1">
      <c r="A12" s="5" t="s">
        <v>35</v>
      </c>
      <c r="B12" s="31">
        <v>1550</v>
      </c>
      <c r="C12" s="29">
        <v>792</v>
      </c>
      <c r="D12" s="6">
        <v>379</v>
      </c>
      <c r="E12" s="6">
        <v>150</v>
      </c>
      <c r="F12" s="6">
        <v>207</v>
      </c>
      <c r="G12" s="6">
        <v>22</v>
      </c>
      <c r="H12" s="7">
        <v>2407</v>
      </c>
      <c r="I12" s="8">
        <v>100</v>
      </c>
      <c r="J12" s="25"/>
    </row>
    <row r="13" spans="1:25" s="4" customFormat="1" ht="15" customHeight="1">
      <c r="A13" s="19" t="s">
        <v>36</v>
      </c>
      <c r="B13" s="30">
        <v>824</v>
      </c>
      <c r="C13" s="28">
        <v>277</v>
      </c>
      <c r="D13" s="16">
        <v>306</v>
      </c>
      <c r="E13" s="16">
        <v>103</v>
      </c>
      <c r="F13" s="16">
        <v>135</v>
      </c>
      <c r="G13" s="16">
        <v>3</v>
      </c>
      <c r="H13" s="17">
        <v>290</v>
      </c>
      <c r="I13" s="18">
        <v>100</v>
      </c>
      <c r="J13" s="24"/>
    </row>
    <row r="14" spans="1:25" s="4" customFormat="1" ht="15" customHeight="1">
      <c r="A14" s="5" t="s">
        <v>37</v>
      </c>
      <c r="B14" s="31">
        <v>1168</v>
      </c>
      <c r="C14" s="29">
        <v>227</v>
      </c>
      <c r="D14" s="6">
        <v>459</v>
      </c>
      <c r="E14" s="6">
        <v>71</v>
      </c>
      <c r="F14" s="6">
        <v>226</v>
      </c>
      <c r="G14" s="6">
        <v>185</v>
      </c>
      <c r="H14" s="7">
        <v>720</v>
      </c>
      <c r="I14" s="8">
        <v>100</v>
      </c>
      <c r="J14" s="25"/>
    </row>
    <row r="15" spans="1:25" s="4" customFormat="1" ht="15" customHeight="1">
      <c r="A15" s="19" t="s">
        <v>8</v>
      </c>
      <c r="B15" s="30">
        <v>19687</v>
      </c>
      <c r="C15" s="28">
        <v>4961</v>
      </c>
      <c r="D15" s="16">
        <v>4053</v>
      </c>
      <c r="E15" s="16">
        <v>3145</v>
      </c>
      <c r="F15" s="16">
        <v>4551</v>
      </c>
      <c r="G15" s="16">
        <v>2977</v>
      </c>
      <c r="H15" s="17">
        <v>4081</v>
      </c>
      <c r="I15" s="18">
        <v>99.705954419999998</v>
      </c>
      <c r="J15" s="24"/>
    </row>
    <row r="16" spans="1:25" s="4" customFormat="1" ht="15" customHeight="1">
      <c r="A16" s="5" t="s">
        <v>38</v>
      </c>
      <c r="B16" s="31">
        <v>2279</v>
      </c>
      <c r="C16" s="29">
        <v>1086</v>
      </c>
      <c r="D16" s="6">
        <v>522</v>
      </c>
      <c r="E16" s="6">
        <v>230</v>
      </c>
      <c r="F16" s="6">
        <v>344</v>
      </c>
      <c r="G16" s="6">
        <v>97</v>
      </c>
      <c r="H16" s="7">
        <v>1879</v>
      </c>
      <c r="I16" s="8">
        <v>100</v>
      </c>
      <c r="J16" s="25"/>
    </row>
    <row r="17" spans="1:10" s="4" customFormat="1" ht="15" customHeight="1">
      <c r="A17" s="19" t="s">
        <v>39</v>
      </c>
      <c r="B17" s="30">
        <v>1310</v>
      </c>
      <c r="C17" s="28">
        <v>518</v>
      </c>
      <c r="D17" s="16">
        <v>280</v>
      </c>
      <c r="E17" s="16">
        <v>227</v>
      </c>
      <c r="F17" s="16">
        <v>260</v>
      </c>
      <c r="G17" s="16">
        <v>25</v>
      </c>
      <c r="H17" s="17">
        <v>1365</v>
      </c>
      <c r="I17" s="18">
        <v>100</v>
      </c>
      <c r="J17" s="24"/>
    </row>
    <row r="18" spans="1:10" s="4" customFormat="1" ht="15" customHeight="1">
      <c r="A18" s="5" t="s">
        <v>40</v>
      </c>
      <c r="B18" s="31">
        <v>2046</v>
      </c>
      <c r="C18" s="29">
        <v>902</v>
      </c>
      <c r="D18" s="6">
        <v>302</v>
      </c>
      <c r="E18" s="6">
        <v>121</v>
      </c>
      <c r="F18" s="6">
        <v>669</v>
      </c>
      <c r="G18" s="6">
        <v>52</v>
      </c>
      <c r="H18" s="7">
        <v>1356</v>
      </c>
      <c r="I18" s="8">
        <v>100</v>
      </c>
      <c r="J18" s="25"/>
    </row>
    <row r="19" spans="1:10" s="4" customFormat="1" ht="15" customHeight="1">
      <c r="A19" s="19" t="s">
        <v>41</v>
      </c>
      <c r="B19" s="30">
        <v>885</v>
      </c>
      <c r="C19" s="28">
        <v>444</v>
      </c>
      <c r="D19" s="16">
        <v>202</v>
      </c>
      <c r="E19" s="16">
        <v>79</v>
      </c>
      <c r="F19" s="16">
        <v>151</v>
      </c>
      <c r="G19" s="16">
        <v>9</v>
      </c>
      <c r="H19" s="17">
        <v>1407</v>
      </c>
      <c r="I19" s="18">
        <v>100</v>
      </c>
      <c r="J19" s="24"/>
    </row>
    <row r="20" spans="1:10" s="4" customFormat="1" ht="15" customHeight="1">
      <c r="A20" s="5" t="s">
        <v>42</v>
      </c>
      <c r="B20" s="31">
        <v>448</v>
      </c>
      <c r="C20" s="29">
        <v>208</v>
      </c>
      <c r="D20" s="6">
        <v>135</v>
      </c>
      <c r="E20" s="6">
        <v>50</v>
      </c>
      <c r="F20" s="6">
        <v>53</v>
      </c>
      <c r="G20" s="6">
        <v>2</v>
      </c>
      <c r="H20" s="7">
        <v>1367</v>
      </c>
      <c r="I20" s="8">
        <v>100</v>
      </c>
      <c r="J20" s="25"/>
    </row>
    <row r="21" spans="1:10" s="4" customFormat="1" ht="15" customHeight="1">
      <c r="A21" s="19" t="s">
        <v>43</v>
      </c>
      <c r="B21" s="30">
        <v>581</v>
      </c>
      <c r="C21" s="28">
        <v>262</v>
      </c>
      <c r="D21" s="16">
        <v>158</v>
      </c>
      <c r="E21" s="16">
        <v>44</v>
      </c>
      <c r="F21" s="16">
        <v>103</v>
      </c>
      <c r="G21" s="16">
        <v>14</v>
      </c>
      <c r="H21" s="17">
        <v>589</v>
      </c>
      <c r="I21" s="18">
        <v>100</v>
      </c>
      <c r="J21" s="24"/>
    </row>
    <row r="22" spans="1:10" s="4" customFormat="1" ht="15" customHeight="1">
      <c r="A22" s="5" t="s">
        <v>44</v>
      </c>
      <c r="B22" s="31">
        <v>514</v>
      </c>
      <c r="C22" s="29">
        <v>249</v>
      </c>
      <c r="D22" s="6">
        <v>108</v>
      </c>
      <c r="E22" s="6">
        <v>70</v>
      </c>
      <c r="F22" s="6">
        <v>76</v>
      </c>
      <c r="G22" s="6">
        <v>11</v>
      </c>
      <c r="H22" s="7">
        <v>1434</v>
      </c>
      <c r="I22" s="8">
        <v>100</v>
      </c>
      <c r="J22" s="25"/>
    </row>
    <row r="23" spans="1:10" s="4" customFormat="1" ht="15" customHeight="1">
      <c r="A23" s="19" t="s">
        <v>45</v>
      </c>
      <c r="B23" s="30">
        <v>1842</v>
      </c>
      <c r="C23" s="28">
        <v>1011</v>
      </c>
      <c r="D23" s="16">
        <v>402</v>
      </c>
      <c r="E23" s="16">
        <v>210</v>
      </c>
      <c r="F23" s="16">
        <v>161</v>
      </c>
      <c r="G23" s="16">
        <v>58</v>
      </c>
      <c r="H23" s="17">
        <v>1873</v>
      </c>
      <c r="I23" s="18">
        <v>100</v>
      </c>
      <c r="J23" s="24"/>
    </row>
    <row r="24" spans="1:10" s="4" customFormat="1" ht="15" customHeight="1">
      <c r="A24" s="5" t="s">
        <v>9</v>
      </c>
      <c r="B24" s="31">
        <v>5081</v>
      </c>
      <c r="C24" s="29">
        <v>2078</v>
      </c>
      <c r="D24" s="6">
        <v>1196</v>
      </c>
      <c r="E24" s="6">
        <v>701</v>
      </c>
      <c r="F24" s="6">
        <v>878</v>
      </c>
      <c r="G24" s="6">
        <v>228</v>
      </c>
      <c r="H24" s="7">
        <v>3616</v>
      </c>
      <c r="I24" s="8">
        <v>99.972345129999994</v>
      </c>
      <c r="J24" s="25"/>
    </row>
    <row r="25" spans="1:10" s="4" customFormat="1" ht="15" customHeight="1">
      <c r="A25" s="19" t="s">
        <v>10</v>
      </c>
      <c r="B25" s="30">
        <v>5881</v>
      </c>
      <c r="C25" s="28">
        <v>1952</v>
      </c>
      <c r="D25" s="16">
        <v>1489</v>
      </c>
      <c r="E25" s="16">
        <v>547</v>
      </c>
      <c r="F25" s="16">
        <v>1039</v>
      </c>
      <c r="G25" s="16">
        <v>854</v>
      </c>
      <c r="H25" s="17">
        <v>2170</v>
      </c>
      <c r="I25" s="18">
        <v>99.815668200000005</v>
      </c>
      <c r="J25" s="24"/>
    </row>
    <row r="26" spans="1:10" s="4" customFormat="1" ht="15" customHeight="1">
      <c r="A26" s="5" t="s">
        <v>46</v>
      </c>
      <c r="B26" s="31">
        <v>731</v>
      </c>
      <c r="C26" s="29">
        <v>432</v>
      </c>
      <c r="D26" s="6">
        <v>146</v>
      </c>
      <c r="E26" s="6">
        <v>52</v>
      </c>
      <c r="F26" s="6">
        <v>83</v>
      </c>
      <c r="G26" s="6">
        <v>18</v>
      </c>
      <c r="H26" s="7">
        <v>978</v>
      </c>
      <c r="I26" s="8">
        <v>100</v>
      </c>
      <c r="J26" s="25"/>
    </row>
    <row r="27" spans="1:10" s="4" customFormat="1" ht="15" customHeight="1">
      <c r="A27" s="19" t="s">
        <v>11</v>
      </c>
      <c r="B27" s="30">
        <v>3424</v>
      </c>
      <c r="C27" s="28">
        <v>1671</v>
      </c>
      <c r="D27" s="16">
        <v>939</v>
      </c>
      <c r="E27" s="16">
        <v>473</v>
      </c>
      <c r="F27" s="16">
        <v>308</v>
      </c>
      <c r="G27" s="16">
        <v>33</v>
      </c>
      <c r="H27" s="17">
        <v>2372</v>
      </c>
      <c r="I27" s="18">
        <v>100</v>
      </c>
      <c r="J27" s="24"/>
    </row>
    <row r="28" spans="1:10" s="4" customFormat="1" ht="15" customHeight="1">
      <c r="A28" s="5" t="s">
        <v>47</v>
      </c>
      <c r="B28" s="31">
        <v>954</v>
      </c>
      <c r="C28" s="29">
        <v>369</v>
      </c>
      <c r="D28" s="6">
        <v>389</v>
      </c>
      <c r="E28" s="6">
        <v>83</v>
      </c>
      <c r="F28" s="6">
        <v>93</v>
      </c>
      <c r="G28" s="6">
        <v>20</v>
      </c>
      <c r="H28" s="7">
        <v>825</v>
      </c>
      <c r="I28" s="8">
        <v>100</v>
      </c>
      <c r="J28" s="25"/>
    </row>
    <row r="29" spans="1:10" s="4" customFormat="1" ht="15" customHeight="1">
      <c r="A29" s="19" t="s">
        <v>48</v>
      </c>
      <c r="B29" s="30">
        <v>1217</v>
      </c>
      <c r="C29" s="28">
        <v>382</v>
      </c>
      <c r="D29" s="16">
        <v>306</v>
      </c>
      <c r="E29" s="16">
        <v>125</v>
      </c>
      <c r="F29" s="16">
        <v>87</v>
      </c>
      <c r="G29" s="16">
        <v>317</v>
      </c>
      <c r="H29" s="17">
        <v>1064</v>
      </c>
      <c r="I29" s="18">
        <v>100</v>
      </c>
      <c r="J29" s="24"/>
    </row>
    <row r="30" spans="1:10" s="4" customFormat="1" ht="15" customHeight="1">
      <c r="A30" s="5" t="s">
        <v>49</v>
      </c>
      <c r="B30" s="31">
        <v>1252</v>
      </c>
      <c r="C30" s="29">
        <v>527</v>
      </c>
      <c r="D30" s="6">
        <v>284</v>
      </c>
      <c r="E30" s="6">
        <v>180</v>
      </c>
      <c r="F30" s="6">
        <v>239</v>
      </c>
      <c r="G30" s="6">
        <v>22</v>
      </c>
      <c r="H30" s="7">
        <v>658</v>
      </c>
      <c r="I30" s="8">
        <v>100</v>
      </c>
      <c r="J30" s="25"/>
    </row>
    <row r="31" spans="1:10" s="4" customFormat="1" ht="15" customHeight="1">
      <c r="A31" s="19" t="s">
        <v>50</v>
      </c>
      <c r="B31" s="30">
        <v>685</v>
      </c>
      <c r="C31" s="28">
        <v>311</v>
      </c>
      <c r="D31" s="16">
        <v>157</v>
      </c>
      <c r="E31" s="16">
        <v>60</v>
      </c>
      <c r="F31" s="16">
        <v>142</v>
      </c>
      <c r="G31" s="16">
        <v>15</v>
      </c>
      <c r="H31" s="17">
        <v>483</v>
      </c>
      <c r="I31" s="18">
        <v>100</v>
      </c>
      <c r="J31" s="24"/>
    </row>
    <row r="32" spans="1:10" s="4" customFormat="1" ht="15" customHeight="1">
      <c r="A32" s="5" t="s">
        <v>51</v>
      </c>
      <c r="B32" s="31">
        <v>5613</v>
      </c>
      <c r="C32" s="29">
        <v>1527</v>
      </c>
      <c r="D32" s="6">
        <v>2013</v>
      </c>
      <c r="E32" s="6">
        <v>831</v>
      </c>
      <c r="F32" s="6">
        <v>985</v>
      </c>
      <c r="G32" s="6">
        <v>257</v>
      </c>
      <c r="H32" s="7">
        <v>2577</v>
      </c>
      <c r="I32" s="8">
        <v>100</v>
      </c>
      <c r="J32" s="25"/>
    </row>
    <row r="33" spans="1:10" s="4" customFormat="1" ht="15" customHeight="1">
      <c r="A33" s="19" t="s">
        <v>52</v>
      </c>
      <c r="B33" s="30">
        <v>1255</v>
      </c>
      <c r="C33" s="28">
        <v>942</v>
      </c>
      <c r="D33" s="16">
        <v>106</v>
      </c>
      <c r="E33" s="16">
        <v>93</v>
      </c>
      <c r="F33" s="16">
        <v>77</v>
      </c>
      <c r="G33" s="16">
        <v>37</v>
      </c>
      <c r="H33" s="17">
        <v>880</v>
      </c>
      <c r="I33" s="18">
        <v>100</v>
      </c>
      <c r="J33" s="24"/>
    </row>
    <row r="34" spans="1:10" s="4" customFormat="1" ht="15" customHeight="1">
      <c r="A34" s="5" t="s">
        <v>12</v>
      </c>
      <c r="B34" s="31">
        <v>10791</v>
      </c>
      <c r="C34" s="29">
        <v>5193</v>
      </c>
      <c r="D34" s="6">
        <v>2843</v>
      </c>
      <c r="E34" s="6">
        <v>784</v>
      </c>
      <c r="F34" s="6">
        <v>1556</v>
      </c>
      <c r="G34" s="6">
        <v>415</v>
      </c>
      <c r="H34" s="7">
        <v>4916</v>
      </c>
      <c r="I34" s="8">
        <v>99.857607810000005</v>
      </c>
      <c r="J34" s="25"/>
    </row>
    <row r="35" spans="1:10" s="4" customFormat="1" ht="15" customHeight="1">
      <c r="A35" s="19" t="s">
        <v>13</v>
      </c>
      <c r="B35" s="30">
        <v>2291</v>
      </c>
      <c r="C35" s="28">
        <v>1861</v>
      </c>
      <c r="D35" s="16">
        <v>165</v>
      </c>
      <c r="E35" s="16">
        <v>38</v>
      </c>
      <c r="F35" s="16">
        <v>218</v>
      </c>
      <c r="G35" s="16">
        <v>9</v>
      </c>
      <c r="H35" s="17">
        <v>2618</v>
      </c>
      <c r="I35" s="18">
        <v>100</v>
      </c>
      <c r="J35" s="24"/>
    </row>
    <row r="36" spans="1:10" s="4" customFormat="1" ht="15" customHeight="1">
      <c r="A36" s="5" t="s">
        <v>53</v>
      </c>
      <c r="B36" s="31">
        <v>227</v>
      </c>
      <c r="C36" s="29">
        <v>97</v>
      </c>
      <c r="D36" s="6">
        <v>80</v>
      </c>
      <c r="E36" s="6">
        <v>13</v>
      </c>
      <c r="F36" s="6">
        <v>27</v>
      </c>
      <c r="G36" s="6">
        <v>10</v>
      </c>
      <c r="H36" s="7">
        <v>481</v>
      </c>
      <c r="I36" s="8">
        <v>100</v>
      </c>
      <c r="J36" s="25"/>
    </row>
    <row r="37" spans="1:10" s="4" customFormat="1" ht="15" customHeight="1">
      <c r="A37" s="19" t="s">
        <v>54</v>
      </c>
      <c r="B37" s="30">
        <v>2782</v>
      </c>
      <c r="C37" s="28">
        <v>1138</v>
      </c>
      <c r="D37" s="16">
        <v>777</v>
      </c>
      <c r="E37" s="16">
        <v>316</v>
      </c>
      <c r="F37" s="16">
        <v>365</v>
      </c>
      <c r="G37" s="16">
        <v>186</v>
      </c>
      <c r="H37" s="17">
        <v>3631</v>
      </c>
      <c r="I37" s="18">
        <v>100</v>
      </c>
      <c r="J37" s="24"/>
    </row>
    <row r="38" spans="1:10" s="4" customFormat="1" ht="15" customHeight="1">
      <c r="A38" s="5" t="s">
        <v>55</v>
      </c>
      <c r="B38" s="31">
        <v>1295</v>
      </c>
      <c r="C38" s="29">
        <v>606</v>
      </c>
      <c r="D38" s="6">
        <v>407</v>
      </c>
      <c r="E38" s="6">
        <v>107</v>
      </c>
      <c r="F38" s="6">
        <v>160</v>
      </c>
      <c r="G38" s="6">
        <v>15</v>
      </c>
      <c r="H38" s="7">
        <v>1815</v>
      </c>
      <c r="I38" s="8">
        <v>100</v>
      </c>
      <c r="J38" s="25"/>
    </row>
    <row r="39" spans="1:10" s="4" customFormat="1" ht="15" customHeight="1">
      <c r="A39" s="19" t="s">
        <v>56</v>
      </c>
      <c r="B39" s="30">
        <v>2612</v>
      </c>
      <c r="C39" s="28">
        <v>1208</v>
      </c>
      <c r="D39" s="16">
        <v>384</v>
      </c>
      <c r="E39" s="16">
        <v>484</v>
      </c>
      <c r="F39" s="16">
        <v>396</v>
      </c>
      <c r="G39" s="16">
        <v>140</v>
      </c>
      <c r="H39" s="17">
        <v>1283</v>
      </c>
      <c r="I39" s="18">
        <v>100</v>
      </c>
      <c r="J39" s="24"/>
    </row>
    <row r="40" spans="1:10" s="4" customFormat="1" ht="15" customHeight="1">
      <c r="A40" s="5" t="s">
        <v>14</v>
      </c>
      <c r="B40" s="31">
        <v>4460</v>
      </c>
      <c r="C40" s="29">
        <v>1566</v>
      </c>
      <c r="D40" s="6">
        <v>965</v>
      </c>
      <c r="E40" s="6">
        <v>699</v>
      </c>
      <c r="F40" s="6">
        <v>785</v>
      </c>
      <c r="G40" s="6">
        <v>445</v>
      </c>
      <c r="H40" s="7">
        <v>3027</v>
      </c>
      <c r="I40" s="8">
        <v>100</v>
      </c>
      <c r="J40" s="25"/>
    </row>
    <row r="41" spans="1:10" s="4" customFormat="1" ht="15" customHeight="1">
      <c r="A41" s="19" t="s">
        <v>57</v>
      </c>
      <c r="B41" s="30">
        <v>2016</v>
      </c>
      <c r="C41" s="28">
        <v>297</v>
      </c>
      <c r="D41" s="16">
        <v>344</v>
      </c>
      <c r="E41" s="16">
        <v>361</v>
      </c>
      <c r="F41" s="16">
        <v>524</v>
      </c>
      <c r="G41" s="16">
        <v>490</v>
      </c>
      <c r="H41" s="17">
        <v>308</v>
      </c>
      <c r="I41" s="18">
        <v>100</v>
      </c>
      <c r="J41" s="24"/>
    </row>
    <row r="42" spans="1:10" s="4" customFormat="1" ht="15" customHeight="1">
      <c r="A42" s="5" t="s">
        <v>58</v>
      </c>
      <c r="B42" s="31">
        <v>988</v>
      </c>
      <c r="C42" s="29">
        <v>433</v>
      </c>
      <c r="D42" s="6">
        <v>330</v>
      </c>
      <c r="E42" s="6">
        <v>107</v>
      </c>
      <c r="F42" s="6">
        <v>106</v>
      </c>
      <c r="G42" s="6">
        <v>12</v>
      </c>
      <c r="H42" s="7">
        <v>1236</v>
      </c>
      <c r="I42" s="8">
        <v>95.631067959999996</v>
      </c>
      <c r="J42" s="25"/>
    </row>
    <row r="43" spans="1:10" s="4" customFormat="1" ht="15" customHeight="1">
      <c r="A43" s="19" t="s">
        <v>59</v>
      </c>
      <c r="B43" s="30">
        <v>268</v>
      </c>
      <c r="C43" s="28">
        <v>179</v>
      </c>
      <c r="D43" s="16">
        <v>35</v>
      </c>
      <c r="E43" s="16">
        <v>27</v>
      </c>
      <c r="F43" s="16">
        <v>24</v>
      </c>
      <c r="G43" s="16">
        <v>3</v>
      </c>
      <c r="H43" s="17">
        <v>688</v>
      </c>
      <c r="I43" s="18">
        <v>100</v>
      </c>
      <c r="J43" s="24"/>
    </row>
    <row r="44" spans="1:10" s="4" customFormat="1" ht="15" customHeight="1">
      <c r="A44" s="5" t="s">
        <v>60</v>
      </c>
      <c r="B44" s="31">
        <v>5703</v>
      </c>
      <c r="C44" s="29">
        <v>1177</v>
      </c>
      <c r="D44" s="6">
        <v>833</v>
      </c>
      <c r="E44" s="6">
        <v>255</v>
      </c>
      <c r="F44" s="6">
        <v>1824</v>
      </c>
      <c r="G44" s="6">
        <v>1614</v>
      </c>
      <c r="H44" s="7">
        <v>1818</v>
      </c>
      <c r="I44" s="8">
        <v>100</v>
      </c>
      <c r="J44" s="25"/>
    </row>
    <row r="45" spans="1:10" s="4" customFormat="1" ht="15" customHeight="1">
      <c r="A45" s="19" t="s">
        <v>15</v>
      </c>
      <c r="B45" s="30">
        <v>3931</v>
      </c>
      <c r="C45" s="28">
        <v>1722</v>
      </c>
      <c r="D45" s="16">
        <v>941</v>
      </c>
      <c r="E45" s="16">
        <v>336</v>
      </c>
      <c r="F45" s="16">
        <v>619</v>
      </c>
      <c r="G45" s="16">
        <v>313</v>
      </c>
      <c r="H45" s="17">
        <v>8616</v>
      </c>
      <c r="I45" s="18">
        <v>100</v>
      </c>
      <c r="J45" s="24"/>
    </row>
    <row r="46" spans="1:10" s="4" customFormat="1" ht="15" customHeight="1">
      <c r="A46" s="5" t="s">
        <v>61</v>
      </c>
      <c r="B46" s="31">
        <v>2111</v>
      </c>
      <c r="C46" s="29">
        <v>1074</v>
      </c>
      <c r="D46" s="6">
        <v>499</v>
      </c>
      <c r="E46" s="6">
        <v>243</v>
      </c>
      <c r="F46" s="6">
        <v>108</v>
      </c>
      <c r="G46" s="6">
        <v>187</v>
      </c>
      <c r="H46" s="7">
        <v>1009</v>
      </c>
      <c r="I46" s="8">
        <v>94.846382559999995</v>
      </c>
      <c r="J46" s="25"/>
    </row>
    <row r="47" spans="1:10" s="4" customFormat="1" ht="15" customHeight="1">
      <c r="A47" s="19" t="s">
        <v>62</v>
      </c>
      <c r="B47" s="30">
        <v>1106</v>
      </c>
      <c r="C47" s="28">
        <v>585</v>
      </c>
      <c r="D47" s="16">
        <v>216</v>
      </c>
      <c r="E47" s="16">
        <v>110</v>
      </c>
      <c r="F47" s="16">
        <v>180</v>
      </c>
      <c r="G47" s="16">
        <v>15</v>
      </c>
      <c r="H47" s="17">
        <v>306</v>
      </c>
      <c r="I47" s="18">
        <v>100</v>
      </c>
      <c r="J47" s="24"/>
    </row>
    <row r="48" spans="1:10" s="4" customFormat="1" ht="15" customHeight="1">
      <c r="A48" s="5" t="s">
        <v>63</v>
      </c>
      <c r="B48" s="31">
        <v>1574</v>
      </c>
      <c r="C48" s="29">
        <v>721</v>
      </c>
      <c r="D48" s="6">
        <v>363</v>
      </c>
      <c r="E48" s="6">
        <v>185</v>
      </c>
      <c r="F48" s="6">
        <v>182</v>
      </c>
      <c r="G48" s="6">
        <v>123</v>
      </c>
      <c r="H48" s="7">
        <v>1971</v>
      </c>
      <c r="I48" s="8">
        <v>100</v>
      </c>
      <c r="J48" s="25"/>
    </row>
    <row r="49" spans="1:25" s="4" customFormat="1" ht="15" customHeight="1">
      <c r="A49" s="19" t="s">
        <v>64</v>
      </c>
      <c r="B49" s="30">
        <v>3041</v>
      </c>
      <c r="C49" s="28">
        <v>1393</v>
      </c>
      <c r="D49" s="16">
        <v>639</v>
      </c>
      <c r="E49" s="16">
        <v>359</v>
      </c>
      <c r="F49" s="16">
        <v>378</v>
      </c>
      <c r="G49" s="16">
        <v>272</v>
      </c>
      <c r="H49" s="17">
        <v>2305</v>
      </c>
      <c r="I49" s="18">
        <v>100</v>
      </c>
      <c r="J49" s="24"/>
    </row>
    <row r="50" spans="1:25" s="4" customFormat="1" ht="15" customHeight="1">
      <c r="A50" s="5" t="s">
        <v>65</v>
      </c>
      <c r="B50" s="31">
        <v>1116</v>
      </c>
      <c r="C50" s="29">
        <v>508</v>
      </c>
      <c r="D50" s="6">
        <v>302</v>
      </c>
      <c r="E50" s="6">
        <v>119</v>
      </c>
      <c r="F50" s="6">
        <v>168</v>
      </c>
      <c r="G50" s="6">
        <v>19</v>
      </c>
      <c r="H50" s="7">
        <v>720</v>
      </c>
      <c r="I50" s="8">
        <v>100</v>
      </c>
      <c r="J50" s="25"/>
    </row>
    <row r="51" spans="1:25" s="4" customFormat="1" ht="15" customHeight="1">
      <c r="A51" s="19" t="s">
        <v>66</v>
      </c>
      <c r="B51" s="30">
        <v>2996</v>
      </c>
      <c r="C51" s="28">
        <v>1440</v>
      </c>
      <c r="D51" s="16">
        <v>655</v>
      </c>
      <c r="E51" s="16">
        <v>356</v>
      </c>
      <c r="F51" s="16">
        <v>401</v>
      </c>
      <c r="G51" s="16">
        <v>144</v>
      </c>
      <c r="H51" s="17">
        <v>2232</v>
      </c>
      <c r="I51" s="18">
        <v>100</v>
      </c>
      <c r="J51" s="24"/>
    </row>
    <row r="52" spans="1:25" s="4" customFormat="1" ht="15" customHeight="1">
      <c r="A52" s="5" t="s">
        <v>67</v>
      </c>
      <c r="B52" s="31">
        <v>264</v>
      </c>
      <c r="C52" s="29">
        <v>145</v>
      </c>
      <c r="D52" s="6">
        <v>58</v>
      </c>
      <c r="E52" s="6">
        <v>19</v>
      </c>
      <c r="F52" s="6">
        <v>40</v>
      </c>
      <c r="G52" s="6">
        <v>2</v>
      </c>
      <c r="H52" s="7">
        <v>365</v>
      </c>
      <c r="I52" s="8">
        <v>100</v>
      </c>
      <c r="J52" s="25"/>
    </row>
    <row r="53" spans="1:25" s="4" customFormat="1" ht="15" customHeight="1">
      <c r="A53" s="5"/>
      <c r="B53" s="26"/>
      <c r="C53" s="26"/>
      <c r="D53" s="26"/>
      <c r="E53" s="26"/>
      <c r="F53" s="26"/>
      <c r="G53" s="26"/>
      <c r="H53" s="27"/>
      <c r="I53" s="25"/>
      <c r="J53" s="25"/>
    </row>
    <row r="54" spans="1:25" s="13" customFormat="1" ht="15" customHeight="1">
      <c r="A54" s="9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1"/>
      <c r="W54" s="12"/>
      <c r="X54" s="10"/>
      <c r="Y54" s="10"/>
    </row>
    <row r="55" spans="1:25" s="13" customFormat="1" ht="12.75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1"/>
      <c r="Y55" s="12"/>
    </row>
    <row r="56" spans="1:25" s="13" customFormat="1" ht="12.75">
      <c r="A56" s="22"/>
      <c r="B56" s="21"/>
      <c r="C56" s="21"/>
      <c r="D56" s="21"/>
      <c r="E56" s="21"/>
      <c r="F56" s="21"/>
      <c r="G56" s="21"/>
      <c r="H56" s="21"/>
      <c r="I56" s="21"/>
      <c r="J56" s="21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1"/>
      <c r="Y56" s="12"/>
    </row>
    <row r="57" spans="1:25" s="13" customFormat="1" ht="29.45" customHeight="1">
      <c r="A57" s="36"/>
      <c r="B57" s="36"/>
      <c r="C57" s="36"/>
      <c r="D57" s="36"/>
      <c r="E57" s="36"/>
      <c r="F57" s="36"/>
      <c r="G57" s="36"/>
      <c r="H57" s="36"/>
      <c r="I57" s="36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</row>
    <row r="58" spans="1:25" s="13" customFormat="1" ht="12.75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1"/>
      <c r="W58" s="12"/>
      <c r="X58" s="10"/>
      <c r="Y58" s="10"/>
    </row>
    <row r="59" spans="1:25" s="13" customFormat="1" ht="15" customHeight="1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1"/>
      <c r="W59" s="12"/>
      <c r="X59" s="10"/>
      <c r="Y59" s="10"/>
    </row>
  </sheetData>
  <sortState xmlns:xlrd2="http://schemas.microsoft.com/office/spreadsheetml/2017/richdata2" ref="A2:I52">
    <sortCondition ref="A2:A52"/>
  </sortState>
  <mergeCells count="1">
    <mergeCell ref="A57:I57"/>
  </mergeCells>
  <conditionalFormatting sqref="B1:B104857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rintOptions horizontalCentered="1"/>
  <pageMargins left="0.25" right="0.25" top="1" bottom="1" header="0.5" footer="0.5"/>
  <pageSetup paperSize="3" scale="66" orientation="landscape" horizontalDpi="4294967292" verticalDpi="4294967292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89AB5-C6E6-4984-9F58-546700E603A8}">
  <dimension ref="A1:Z5"/>
  <sheetViews>
    <sheetView workbookViewId="0">
      <selection activeCell="C8" sqref="C8"/>
    </sheetView>
  </sheetViews>
  <sheetFormatPr defaultRowHeight="15"/>
  <sheetData>
    <row r="1" spans="1:26">
      <c r="A1" s="37" t="s">
        <v>68</v>
      </c>
      <c r="B1" s="10"/>
      <c r="C1" s="10"/>
      <c r="D1" s="10"/>
      <c r="E1" s="10"/>
      <c r="F1" s="10"/>
      <c r="G1" s="10"/>
      <c r="H1" s="10"/>
      <c r="I1" s="10"/>
    </row>
    <row r="2" spans="1:26">
      <c r="A2" s="21" t="e">
        <f>CONCATENATE("NOTE: Table reads (for US Totals):  Of all ",IF(ISTEXT(#REF!),LEFT(#REF!,3),TEXT(#REF!,"#,##0"))," total allegations of harassment or bullying, ",TEXT(#REF!,"#,##0")," were made on the basis of sex.")</f>
        <v>#REF!</v>
      </c>
      <c r="B2" s="21"/>
      <c r="C2" s="21"/>
      <c r="D2" s="21"/>
      <c r="E2" s="21"/>
      <c r="F2" s="21"/>
      <c r="G2" s="21"/>
      <c r="H2" s="21"/>
      <c r="I2" s="21"/>
    </row>
    <row r="3" spans="1:26">
      <c r="A3" s="22" t="s">
        <v>69</v>
      </c>
      <c r="B3" s="21"/>
      <c r="C3" s="21"/>
      <c r="D3" s="21"/>
      <c r="E3" s="21"/>
      <c r="F3" s="21"/>
      <c r="G3" s="21"/>
      <c r="H3" s="21"/>
      <c r="I3" s="21"/>
    </row>
    <row r="4" spans="1:26">
      <c r="A4" s="36" t="s">
        <v>70</v>
      </c>
      <c r="B4" s="36"/>
      <c r="C4" s="36"/>
      <c r="D4" s="36"/>
      <c r="E4" s="36"/>
      <c r="F4" s="36"/>
      <c r="G4" s="36"/>
      <c r="H4" s="36"/>
      <c r="I4" s="36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13"/>
    </row>
    <row r="5" spans="1:26">
      <c r="A5" s="38" t="s">
        <v>71</v>
      </c>
    </row>
  </sheetData>
  <mergeCells count="1">
    <mergeCell ref="A4:I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American Institutes for Research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Low, Kathryn</dc:creator>
  <cp:keywords/>
  <dc:description/>
  <cp:lastModifiedBy/>
  <cp:revision/>
  <dcterms:created xsi:type="dcterms:W3CDTF">2017-03-29T15:00:50Z</dcterms:created>
  <dcterms:modified xsi:type="dcterms:W3CDTF">2026-08-16T11:30:09Z</dcterms:modified>
  <cp:category/>
  <cp:contentStatus/>
</cp:coreProperties>
</file>